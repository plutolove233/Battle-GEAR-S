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装备牌部件" sheetId="1" r:id="rId1"/>
    <sheet name="装备牌武器" sheetId="11" r:id="rId2"/>
    <sheet name="机甲框架" sheetId="12" r:id="rId3"/>
    <sheet name="头部" sheetId="4" r:id="rId4"/>
    <sheet name="躯干" sheetId="2" r:id="rId5"/>
    <sheet name="右臂" sheetId="7" r:id="rId6"/>
    <sheet name="左臂" sheetId="8" r:id="rId7"/>
    <sheet name="右腿" sheetId="9" r:id="rId8"/>
    <sheet name="左腿" sheetId="10" r:id="rId9"/>
  </sheets>
  <definedNames>
    <definedName name="_xlnm._FilterDatabase" localSheetId="0" hidden="1">装备牌部件!$A$1:$N$127</definedName>
    <definedName name="_xlnm._FilterDatabase" localSheetId="1" hidden="1">装备牌武器!$D$1:$D$42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<sst xmlns="http://schemas.openxmlformats.org/spreadsheetml/2006/main" count="1170" uniqueCount="279">
  <si>
    <t>序号</t>
  </si>
  <si>
    <t>机甲名称</t>
  </si>
  <si>
    <t>位置</t>
  </si>
  <si>
    <t>品质</t>
  </si>
  <si>
    <t>数量</t>
  </si>
  <si>
    <t>效果</t>
  </si>
  <si>
    <t>护甲</t>
  </si>
  <si>
    <t>动力</t>
  </si>
  <si>
    <t>耐久</t>
  </si>
  <si>
    <t>金币</t>
  </si>
  <si>
    <t>护甲合计</t>
  </si>
  <si>
    <t>动力合计</t>
  </si>
  <si>
    <t>耐久合计</t>
  </si>
  <si>
    <t>金币合计</t>
  </si>
  <si>
    <t>量产装</t>
  </si>
  <si>
    <t>头部</t>
  </si>
  <si>
    <t>N</t>
  </si>
  <si>
    <t>此牌设置在区域中依然可以卖出。</t>
  </si>
  <si>
    <t>躯干</t>
  </si>
  <si>
    <t>右臂</t>
  </si>
  <si>
    <t>左臂</t>
  </si>
  <si>
    <t>右腿</t>
  </si>
  <si>
    <t>左腿</t>
  </si>
  <si>
    <t>联邦普装</t>
  </si>
  <si>
    <t>其他区域每设置有1张名称带有联邦的装备牌则此牌护甲+1。</t>
  </si>
  <si>
    <t>此牌从区域中弃置时可移除此牌原先所在区域内的所有损伤。</t>
  </si>
  <si>
    <t>将要在其他名称带有联邦的装备牌上设置损伤时，可以将损伤移至此牌所在区域。</t>
  </si>
  <si>
    <t>此牌从区域中弃置时可立即抽1张装备牌并设置到区域上(若不立即设置则需要直接弃置)。</t>
  </si>
  <si>
    <t>机甲被指定为攻击目标时，可在当前回合动力+2。</t>
  </si>
  <si>
    <t>机甲被攻击命中时，可以弃置此牌，之后可最多减少此次攻击产生的2损伤。</t>
  </si>
  <si>
    <t>帝国普装</t>
  </si>
  <si>
    <t>其他区域每设置有1张名称带有帝国的装备牌则此牌动力+1。</t>
  </si>
  <si>
    <t>机甲被指定为攻击目标时，可在当前回合动力+3，之后护甲-2。</t>
  </si>
  <si>
    <t>机甲发动攻击结算后，回复2动力。</t>
  </si>
  <si>
    <t>机甲发动攻击结算后，回复1动力。</t>
  </si>
  <si>
    <t>每回合1次，机甲在当前回合内累积移动过8个格子，可回复2动力。</t>
  </si>
  <si>
    <t>每回合1次，机甲在当前回合内累积移动过8个格子，可回复1动力。</t>
  </si>
  <si>
    <t>重甲装</t>
  </si>
  <si>
    <t>损伤不会影响此牌所在区域提供的护甲。</t>
  </si>
  <si>
    <t>机甲被指定为攻击目标时，可弃置2张行动牌，当前回合护甲+4。</t>
  </si>
  <si>
    <t>此牌上设置的损伤≥1时，动力+1。</t>
  </si>
  <si>
    <t>机动装</t>
  </si>
  <si>
    <t>每我方回合1次，可以消耗4动力抽1张行动牌。</t>
  </si>
  <si>
    <t>机甲被指定为攻击目标时，可弃置2张行动牌，当前回合动力+5。</t>
  </si>
  <si>
    <t>其他区域设置的装备牌会因即将设置的损伤而弃置时，可以将最多2损伤转移至此牌所在区域。</t>
  </si>
  <si>
    <t>机甲发动的攻击命中后，回复3动力。</t>
  </si>
  <si>
    <t>此牌上设置的损伤≥2时，动力+1。</t>
  </si>
  <si>
    <t>狙击装</t>
  </si>
  <si>
    <t>使用远程武器发动攻击时，该攻击范围+1。</t>
  </si>
  <si>
    <t>无。</t>
  </si>
  <si>
    <t>每我方回合1次，可以弃置1张行动牌，回复1动力。</t>
  </si>
  <si>
    <t>使用远程武器发动攻击时，可以弃置1张行动牌，使威力+2。</t>
  </si>
  <si>
    <t>打出攻击牌时，可立即移动到相邻的1个格子上。</t>
  </si>
  <si>
    <t>打出迎击牌时，可立即移动到相邻的1个格子上。</t>
  </si>
  <si>
    <t>近战装</t>
  </si>
  <si>
    <t>可以将发动攻击武器的范围-2(不会低于1)，然后威力+3，类型变为近战武器(以上效果不适用于近战武器)。</t>
  </si>
  <si>
    <t>打出迎击牌时，当前回合护甲+2。</t>
  </si>
  <si>
    <t>使用近战武器发动攻击时，可以弃置1张行动牌，使威力+2。</t>
  </si>
  <si>
    <t>此牌因损伤而从区域中弃置时可移除机甲其他区域内最多2损伤。</t>
  </si>
  <si>
    <t>精英装</t>
  </si>
  <si>
    <t>R</t>
  </si>
  <si>
    <t>此牌设置到区域中时可以抽1张行动牌。</t>
  </si>
  <si>
    <t>此牌因损伤而从区域中弃置时可以抽2张行动牌。</t>
  </si>
  <si>
    <t>联邦的白马</t>
  </si>
  <si>
    <t>打出迎击牌响应攻击时，可以使该攻击威力-5，之后设置2损伤在此牌上。</t>
  </si>
  <si>
    <t>使用名称带有光束的近战武器攻击时，威力+3。</t>
  </si>
  <si>
    <t>使用名称带有光束的远程武器攻击时，威力+3。</t>
  </si>
  <si>
    <t>机甲被指定为攻击目标时，可在当前回合动力+3。</t>
  </si>
  <si>
    <t>机甲被攻击命中时，可以设置2损伤在此牌上，之后可最多减少此次攻击产生的3损伤。</t>
  </si>
  <si>
    <t>帝国的赤枭</t>
  </si>
  <si>
    <t>每回合1次，可以消耗2*n数量的金币(n为整数)，当前回合动力+n，此效果可以在打出迎击牌时使用。</t>
  </si>
  <si>
    <t>使用名称带有热能的远程武器攻击时，威力+3。</t>
  </si>
  <si>
    <t>使用名称带有热能的近战武器攻击时，威力+3。</t>
  </si>
  <si>
    <t>每回合1次，机甲在当前回合内消耗了8动力，可回复2动力。</t>
  </si>
  <si>
    <t>每回合1次，机甲在当前回合内消耗了8动力，可回复1动力。</t>
  </si>
  <si>
    <t>超重甲装</t>
  </si>
  <si>
    <t>损伤不会影响此牌所在区域提供的护甲，除非此牌上设置的损伤≥2。</t>
  </si>
  <si>
    <t>机甲被指定为攻击目标时，可弃置2张行动牌，使当前回合护甲+5。</t>
  </si>
  <si>
    <t>此牌上设置有损伤≥2时，动力+2。</t>
  </si>
  <si>
    <t>高机动装</t>
  </si>
  <si>
    <t>每我方回合2次，可以消耗4动力抽1张行动牌。</t>
  </si>
  <si>
    <t>机甲被指定为攻击目标时，可弃置2张行动牌，使当前回合动力+6。</t>
  </si>
  <si>
    <t>我方回合，可以将区域内的此牌弃置，之后移除机甲区域上原先设置于此牌上损伤数量的损伤。</t>
  </si>
  <si>
    <t>机甲发动的攻击命中后，回复4动力。</t>
  </si>
  <si>
    <t>此牌上设置的损伤≥2时，动力+2。</t>
  </si>
  <si>
    <t>此牌上设置的损伤≥3时，动力+2。</t>
  </si>
  <si>
    <t>狙击影装</t>
  </si>
  <si>
    <t>使用远程武器发动攻击时，攻击范围+2。</t>
  </si>
  <si>
    <t>此牌从区域中弃置时可获得2金币。</t>
  </si>
  <si>
    <t>每我方回合1次，可以弃置1张行动牌，回复2动力。</t>
  </si>
  <si>
    <t>使用远程武器发动攻击时，可以弃置1张行动牌，使威力+3。</t>
  </si>
  <si>
    <t>打出攻击牌时，可立即移动到相邻的1个格子上，之后回复1动力。</t>
  </si>
  <si>
    <t>打出迎击牌时，本回合动力可立即+2，之后移动到相邻的1个格子上。</t>
  </si>
  <si>
    <t>近战特装</t>
  </si>
  <si>
    <t>可以将发动攻击武器的范围-2(不会低于1)，然后威力+4，类型变为近战武器(以上效果不适用于近战武器)。</t>
  </si>
  <si>
    <t>打出迎击牌时，当前回合护甲+2，动力+2。</t>
  </si>
  <si>
    <t>使用近战武器发动攻击时，可以弃置1张行动牌，使威力+2，之后可以选择攻击目标区域最多1张牌效果无效直到本回合结束。</t>
  </si>
  <si>
    <t>此牌从区域中弃置时可使机甲回复3动力，之后可以用当前所有动力进行移动。</t>
  </si>
  <si>
    <t>王牌装</t>
  </si>
  <si>
    <t>SR</t>
  </si>
  <si>
    <t>此牌设置到区域中时可以抽1张行动牌。此牌从区域中弃置时可获得2金币。</t>
  </si>
  <si>
    <t>此牌设置到区域中时可以抽1张行动牌。此牌因损伤而从区域中弃置时可以抽2张行动牌。</t>
  </si>
  <si>
    <t>此牌设置到区域中时可以抽1张行动牌。此牌因损伤而从区域中弃置时可以抽1张装备牌，立即设置或者卖出。</t>
  </si>
  <si>
    <t>联邦的圣牛</t>
  </si>
  <si>
    <t>机甲每设置有1张名称带有联邦的装备牌则此牌护甲+1。</t>
  </si>
  <si>
    <t>机甲被指定为攻击目标时，可以弃置1张行动牌响应此攻击，使该攻击威力-5，之后设置2损伤在此牌上。</t>
  </si>
  <si>
    <t>使用名称带有光束的武器攻击时，可以弃置1张行动牌，使威力+3。</t>
  </si>
  <si>
    <t>每我方回合1次，可以弃置1张行动牌，之后抽1张行动牌或回复2动力。</t>
  </si>
  <si>
    <t>帝国的雄鹰</t>
  </si>
  <si>
    <t>机甲每设置有1张名称带有帝国的装备牌则此牌动力+1。</t>
  </si>
  <si>
    <t>每回合1次，可以消耗2*n数量的金币(n为整数)，之后移动n个格子(无视动力)，此效果也可以在打出迎击牌时使用。</t>
  </si>
  <si>
    <t>使用名称带有热能的武器攻击时，可以弃置1张行动牌，使威力+3。</t>
  </si>
  <si>
    <t>轰雷装</t>
  </si>
  <si>
    <t>使用远程武器发动攻击时，攻击范围+2。损伤不会影响此牌所在区域提供的护甲，除非此牌上设置的损伤≥2。</t>
  </si>
  <si>
    <t>机甲被指定为攻击目标时，可弃置2张行动牌，使当前回合护甲+5，动力+2。</t>
  </si>
  <si>
    <t>此牌上设置有≥2枚损伤时，动力+2。</t>
  </si>
  <si>
    <t>打出攻击牌时，可立即移动到相邻的1个格子上。损伤不会影响此牌所在区域提供的护甲，除非此牌上设置的损伤≥2。</t>
  </si>
  <si>
    <t>打出迎击牌时，可立即移动到相邻的1个格子上。损伤不会影响此牌所在区域提供的护甲，除非此牌上设置的损伤≥2。</t>
  </si>
  <si>
    <t>极电装</t>
  </si>
  <si>
    <t>可以将发动攻击武器的范围-2(不会低于1)，然后威力+4，类型变为近战武器。</t>
  </si>
  <si>
    <t>机甲被指定为攻击目标时，可弃置2张行动牌，立即抽1张行动牌(若是迎击牌可以立即响应该攻击)，并使当前回合动力+3。</t>
  </si>
  <si>
    <t>使用近战武器发动攻击时，可以弃置2张行动牌，使威力+3，之后可以选择攻击目标区域最多2张牌效果无效直到本回合结束。</t>
  </si>
  <si>
    <t>此牌上设置有≥2枚损伤时，动力+2。此牌从区域中弃置时可移除机甲其他区域内最多2损伤。</t>
  </si>
  <si>
    <t>此牌上设置有≥2枚损伤时，动力+2。此牌从区域中弃置时可立即抽1张装备牌并设置到区域上(若不立即设置则需要直接弃置)。</t>
  </si>
  <si>
    <t>联邦的一角兽</t>
  </si>
  <si>
    <t>SSR</t>
  </si>
  <si>
    <t>场上所有机甲的所有区域中名称带有联邦的装备牌将额外提供1护甲。</t>
  </si>
  <si>
    <t>机甲被指定为攻击目标时，可以直接无效该攻击，之后设置5损伤到此牌上。</t>
  </si>
  <si>
    <t>发动攻击时，可以设置2损伤到此牌上，使本次攻击威力+4。</t>
  </si>
  <si>
    <t>发动攻击命中时，可以设置3损伤到此牌上，之后本回合的可攻击次数+1。</t>
  </si>
  <si>
    <t>响应对我方的攻击，可以设置2损伤到此牌上，机甲可立即移动2个格子。发动此效果后，可以立即继续发动此效果。</t>
  </si>
  <si>
    <t>机甲被攻击命中时，可以设置3损伤到此牌上，之后可最多减少此次攻击产生的5损伤。</t>
  </si>
  <si>
    <t>帝国的神莺</t>
  </si>
  <si>
    <t>场上所有机甲的所有区域中名称带有帝国的装备牌将额外提供1动力。</t>
  </si>
  <si>
    <t>此牌也可以当作威力20，范围6的远程武器使用。使用此牌发动攻击需要消耗当前所有动力(不为0)，且直到下个我方回合开始无法回复。</t>
  </si>
  <si>
    <t>发动攻击命中时，可以设置2损伤到此牌上，之后抽3张行动牌，回复3动力。</t>
  </si>
  <si>
    <t>每回合1次，机甲在当前回合内消耗了8动力，可无视动力移动2格。</t>
  </si>
  <si>
    <t>武器名称</t>
  </si>
  <si>
    <t>类型</t>
  </si>
  <si>
    <t>威力</t>
  </si>
  <si>
    <t>范围</t>
  </si>
  <si>
    <t>光束军刀</t>
  </si>
  <si>
    <t>近战</t>
  </si>
  <si>
    <t>对此牌使用聚能时，本回合额外使此牌范围+1。机甲被名称带有光束的武器攻击时，可弃置1张攻击行动牌响应，使该攻击威力-5。</t>
  </si>
  <si>
    <t>热能战斧</t>
  </si>
  <si>
    <t>对此牌使用聚能时，本回合额外使此牌威力+3。机甲被名称带有热能的武器攻击时，可弃置1张攻击行动牌响应该攻击，使该攻击威力-5。</t>
  </si>
  <si>
    <t>破甲狼爪</t>
  </si>
  <si>
    <t>此牌发动的攻击命中后可额外设置2损伤。</t>
  </si>
  <si>
    <t>流星钢锤</t>
  </si>
  <si>
    <t>可以使此牌威力-5，范围+2。</t>
  </si>
  <si>
    <t>扭转钢鞭</t>
  </si>
  <si>
    <t>此牌发动的攻击命中后可弃置攻击目标2张行动牌。</t>
  </si>
  <si>
    <t>光束战戟</t>
  </si>
  <si>
    <t>此牌发动的攻击产生的损伤如果全部放置于同一区域，则可以额外设置2损伤在该区域上。</t>
  </si>
  <si>
    <t>热能战镰</t>
  </si>
  <si>
    <t>断甲长刀</t>
  </si>
  <si>
    <t>此牌发动的攻击命中后可额外设置1枚损伤。</t>
  </si>
  <si>
    <t>重型锤矛</t>
  </si>
  <si>
    <t>此牌发动的攻击命中后可额外设置1枚损伤。此牌发动的攻击没有命中，则设置2损伤在此牌上。</t>
  </si>
  <si>
    <t>拘束钩爪</t>
  </si>
  <si>
    <t>此牌发动的攻击命中后，可对该攻击目标施加锁定效果，此效果将持续到目标下一次被攻击命中时结束，且在效果持续期间，此牌不能攻击。</t>
  </si>
  <si>
    <t>光束斩舰刀</t>
  </si>
  <si>
    <t>此牌发动的攻击命中后，在此牌上设置1损伤。此牌攻击时，可以使威力+3，攻击结算后在此牌上设置1损伤。</t>
  </si>
  <si>
    <t>热能双刃斧</t>
  </si>
  <si>
    <t>此牌发动的攻击命中后，在此牌上设置1损伤。此牌攻击时，可以使范围+2，攻击结算后在此牌上设置1损伤。</t>
  </si>
  <si>
    <t>闪回激光剑</t>
  </si>
  <si>
    <t>需要额外消耗2动力才能使用此牌攻击。此牌攻击时，可以再消耗4动力使此次攻击威力+3。</t>
  </si>
  <si>
    <t>等离子螺旋矛</t>
  </si>
  <si>
    <t>此牌每发动过1次攻击，威力-4。我方回合未使用此牌攻击则在回合结束时回复4威力。对此牌使用聚能时也可回复4威力。</t>
  </si>
  <si>
    <t>高灼能双翼斧</t>
  </si>
  <si>
    <t>光束步枪</t>
  </si>
  <si>
    <t>远程</t>
  </si>
  <si>
    <t>对此牌使用聚能时，本回合额外使此牌威力+3。机甲被名称带有光束的武器攻击时，可弃置1张攻击牌响应该攻击，使该攻击威力-5。</t>
  </si>
  <si>
    <t>热能机枪</t>
  </si>
  <si>
    <t>对此牌使用聚能时，本回合额外使此牌范围+1。机甲被名称带有热能的武器攻击时，可弃置1张攻击行动牌响应该攻击，使该攻击威力-5。</t>
  </si>
  <si>
    <t>光束霰弹枪</t>
  </si>
  <si>
    <t>此牌发动的攻击命中后，倘若攻击目标与机甲当前位置相邻，则可额外设置2损伤。</t>
  </si>
  <si>
    <t>热能爆弹枪</t>
  </si>
  <si>
    <t>火箭筒</t>
  </si>
  <si>
    <t>此牌发动的攻击命中后可额外设置1损伤。</t>
  </si>
  <si>
    <t>光束狙击枪</t>
  </si>
  <si>
    <t>穿甲热能枪</t>
  </si>
  <si>
    <t>扩散轨道炮</t>
  </si>
  <si>
    <t>密集导弹炮</t>
  </si>
  <si>
    <t>此牌发动攻击指定目标时，可以使目标当前动力-2，之后若目标机甲动力为0，则攻击命中可额外设置2损伤。</t>
  </si>
  <si>
    <t>超级火箭筒</t>
  </si>
  <si>
    <t>大型光束炮</t>
  </si>
  <si>
    <t>此牌每设置有1损伤，则威力-2。此牌攻击时，可以在此牌上设置1损伤，回复全部威力，并使威力+2。</t>
  </si>
  <si>
    <t>热能加特林</t>
  </si>
  <si>
    <t>此牌每设置有1损伤，则威力-2。此牌攻击命中时，可以在此牌上设置2损伤，之后可额外设置3损伤。</t>
  </si>
  <si>
    <t>雷爆磁轨炮</t>
  </si>
  <si>
    <t>此牌发动攻击时，随机弃置我方1张行动牌，若此即将被弃置的牌是我方的最后一张牌，则此次攻击威力+3。</t>
  </si>
  <si>
    <t>超米伽荣光炮</t>
  </si>
  <si>
    <t>此牌发动攻击后，直到下个我方回合结束不能再使用此牌发动攻击。对此牌使用聚能后允许再次发动攻击。</t>
  </si>
  <si>
    <t>核聚变神火炮</t>
  </si>
  <si>
    <t>合金盾牌</t>
  </si>
  <si>
    <t>特殊</t>
  </si>
  <si>
    <t>可以将攻击或陷阱产生的损伤移至此牌上。</t>
  </si>
  <si>
    <t>投掷式飞弹</t>
  </si>
  <si>
    <t>此牌发动攻击结算后会被设置1损伤。可直接使用此牌发动攻击(不需要攻击牌)。</t>
  </si>
  <si>
    <t>39-40</t>
  </si>
  <si>
    <t>维修机械臂</t>
  </si>
  <si>
    <t>每我方回合1次，可以将1张行动牌当作维修打出，之后在此牌上设置2损伤。</t>
  </si>
  <si>
    <t>41-42</t>
  </si>
  <si>
    <t>手持推进器</t>
  </si>
  <si>
    <t>我方回合或打出迎击牌时，可以使机甲在本回合动力+4，之后在此牌上设置1损伤。以上效果每回合只能使用1次。</t>
  </si>
  <si>
    <t>43-44</t>
  </si>
  <si>
    <t>强合金盾牌</t>
  </si>
  <si>
    <t>45-46</t>
  </si>
  <si>
    <t>投掷式机雷</t>
  </si>
  <si>
    <t>此牌发动攻击结算后会被设置1损伤。可直接使用此牌发动攻击(不需要攻击牌)。可以在此牌攻击范围内的格子上设置1陷阱，之后在此牌上设置1损伤。</t>
  </si>
  <si>
    <t>多功能机械臂</t>
  </si>
  <si>
    <t>每我方回合1次，可以将1张行动牌当作维修打出或是弃置2张行动牌再抽2张行动牌，之后在此牌上设置2损伤。</t>
  </si>
  <si>
    <t>月神合金盾牌</t>
  </si>
  <si>
    <t>投掷式双子机雷</t>
  </si>
  <si>
    <t>此牌攻击结算后会被设置1损伤。可直接使用此牌发动攻击(不需要攻击牌)。可以在此牌范围内的2个格子上各设置1陷阱，之后在此牌上设置1损伤。</t>
  </si>
  <si>
    <t>质能全转换剑炮</t>
  </si>
  <si>
    <t>可以将此牌的威力变为机甲当前护甲数值*2，范围变为当前动力数值。此牌发动攻击结算完成后，弃置机甲所有正面朝上的部件装备牌。</t>
  </si>
  <si>
    <t>框架名称</t>
  </si>
  <si>
    <t>阵营</t>
  </si>
  <si>
    <t>明细</t>
  </si>
  <si>
    <t>名称</t>
  </si>
  <si>
    <t>效果/描述</t>
  </si>
  <si>
    <t>耐久/生命值</t>
  </si>
  <si>
    <t>基础框架</t>
  </si>
  <si>
    <t>联邦</t>
  </si>
  <si>
    <t>本体</t>
  </si>
  <si>
    <t>\</t>
  </si>
  <si>
    <t>每设置有1张名称带有联邦的装备牌则护甲+1。</t>
  </si>
  <si>
    <t>武器1</t>
  </si>
  <si>
    <t>振动匕首</t>
  </si>
  <si>
    <t>武器2</t>
  </si>
  <si>
    <t>光束手枪</t>
  </si>
  <si>
    <t>备用1</t>
  </si>
  <si>
    <t>可将装备牌背面朝上置于此区域上(效果无效)，耐久视为3，我方回合可以将该牌设置到机甲的对应区域或卖出。</t>
  </si>
  <si>
    <t>备用2</t>
  </si>
  <si>
    <t>原始框架</t>
  </si>
  <si>
    <t>帝国</t>
  </si>
  <si>
    <t>每设置有1张名称带有帝国的装备牌则动力+1。</t>
  </si>
  <si>
    <t>动力手斧</t>
  </si>
  <si>
    <t>冲击手炮</t>
  </si>
  <si>
    <t>可将装备牌背面朝上置于此区域上(效果无效)，耐久视为4，我方回合可以将该牌设置到机甲的对应区域或卖出。</t>
  </si>
  <si>
    <t>索尔框架</t>
  </si>
  <si>
    <t>秩序</t>
  </si>
  <si>
    <t>使用远程武器攻击时威力+2，范围+1。</t>
  </si>
  <si>
    <t>雷槌枪</t>
  </si>
  <si>
    <t>雷鸣枪</t>
  </si>
  <si>
    <t>可将任意装备牌背面朝上置于此区域上，耐久视为1，我方回合内可以将此牌设置到机甲的对应区域上。设置在此区域中的牌依然可以卖出。</t>
  </si>
  <si>
    <t>可将任意装备牌背面朝上置于此区域上，耐久视为2，我方回合内可以将此牌设置到机甲的对应区域上。设置在此区域中的牌依然可以卖出。</t>
  </si>
  <si>
    <t>芬里尔框架</t>
  </si>
  <si>
    <t>混乱</t>
  </si>
  <si>
    <t>使用近战武器攻击时威力+3，可额外产生1损伤。</t>
  </si>
  <si>
    <t>烈狼爪</t>
  </si>
  <si>
    <t>迅狼爪</t>
  </si>
  <si>
    <t>护甲+动力</t>
  </si>
  <si>
    <t>护甲+动力+耐久</t>
  </si>
  <si>
    <t>狙击特化装</t>
  </si>
  <si>
    <t>近战特化装</t>
  </si>
  <si>
    <t>疾电装</t>
  </si>
  <si>
    <t>总计</t>
  </si>
  <si>
    <t>平均值</t>
  </si>
  <si>
    <t>最大值</t>
  </si>
  <si>
    <t>最小值</t>
  </si>
  <si>
    <t>N总计</t>
  </si>
  <si>
    <t>N平均值</t>
  </si>
  <si>
    <t>N最大值</t>
  </si>
  <si>
    <t>N最小值</t>
  </si>
  <si>
    <t>R总计</t>
  </si>
  <si>
    <t>R平均值</t>
  </si>
  <si>
    <t>R最大值</t>
  </si>
  <si>
    <t>R最小值</t>
  </si>
  <si>
    <t>SR总计</t>
  </si>
  <si>
    <t>SR平均值</t>
  </si>
  <si>
    <t>SR最大值</t>
  </si>
  <si>
    <t>SR最小值</t>
  </si>
  <si>
    <t>SSR总计</t>
  </si>
  <si>
    <t>SSR平均值</t>
  </si>
  <si>
    <t>SSR最大值</t>
  </si>
  <si>
    <t>SSR最小值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</si>
</sst>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Microsoft YaHei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26F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8" borderId="5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3">
      <alignment vertical="center"/>
    </xf>
    <xf numFmtId="0" fontId="15" fillId="0" borderId="53">
      <alignment vertical="center"/>
    </xf>
    <xf numFmtId="0" fontId="16" fillId="0" borderId="54">
      <alignment vertical="center"/>
    </xf>
    <xf numFmtId="0" fontId="16" fillId="0" borderId="0">
      <alignment vertical="center"/>
    </xf>
    <xf numFmtId="0" fontId="17" fillId="9" borderId="55">
      <alignment vertical="center"/>
    </xf>
    <xf numFmtId="0" fontId="18" fillId="10" borderId="56">
      <alignment vertical="center"/>
    </xf>
    <xf numFmtId="0" fontId="19" fillId="10" borderId="55">
      <alignment vertical="center"/>
    </xf>
    <xf numFmtId="0" fontId="20" fillId="11" borderId="57">
      <alignment vertical="center"/>
    </xf>
    <xf numFmtId="0" fontId="21" fillId="0" borderId="58">
      <alignment vertical="center"/>
    </xf>
    <xf numFmtId="0" fontId="22" fillId="0" borderId="59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6" fillId="38" borderId="0">
      <alignment vertical="center"/>
    </xf>
  </cellStyleXfs>
  <cellXfs count="13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46" xfId="0" applyFont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left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926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2"/>
  <sheetViews>
    <sheetView tabSelected="1" zoomScale="85" zoomScaleNormal="85" workbookViewId="0">
      <selection activeCell="N11" sqref="N11"/>
    </sheetView>
  </sheetViews>
  <sheetFormatPr defaultColWidth="9" defaultRowHeight="14.4"/>
  <cols>
    <col min="2" max="2" width="19" customWidth="1"/>
    <col min="5" max="5" width="9" hidden="1" customWidth="1"/>
    <col min="6" max="6" width="32.4444444444444" style="44" customWidth="1"/>
    <col min="14" max="14" width="12.8888888888889"/>
  </cols>
  <sheetData>
    <row r="1" ht="16.95" spans="1:14">
      <c r="A1" s="45" t="s">
        <v>0</v>
      </c>
      <c r="B1" s="46" t="s">
        <v>1</v>
      </c>
      <c r="C1" s="45" t="s">
        <v>2</v>
      </c>
      <c r="D1" s="46" t="s">
        <v>3</v>
      </c>
      <c r="E1" s="45" t="s">
        <v>4</v>
      </c>
      <c r="F1" s="47" t="s">
        <v>5</v>
      </c>
      <c r="G1" s="45" t="s">
        <v>6</v>
      </c>
      <c r="H1" s="48" t="s">
        <v>7</v>
      </c>
      <c r="I1" s="45" t="s">
        <v>8</v>
      </c>
      <c r="J1" s="45" t="s">
        <v>9</v>
      </c>
      <c r="K1" s="49" t="s">
        <v>10</v>
      </c>
      <c r="L1" s="49" t="s">
        <v>11</v>
      </c>
      <c r="M1" s="49" t="s">
        <v>12</v>
      </c>
      <c r="N1" s="49" t="s">
        <v>13</v>
      </c>
    </row>
    <row r="2" ht="16.95" spans="1:14">
      <c r="A2" s="50">
        <v>1</v>
      </c>
      <c r="B2" s="51" t="s">
        <v>14</v>
      </c>
      <c r="C2" s="52" t="s">
        <v>15</v>
      </c>
      <c r="D2" s="53" t="s">
        <v>16</v>
      </c>
      <c r="E2" s="52">
        <v>1</v>
      </c>
      <c r="F2" s="54" t="s">
        <v>17</v>
      </c>
      <c r="G2" s="52">
        <v>2</v>
      </c>
      <c r="H2" s="52">
        <v>0</v>
      </c>
      <c r="I2" s="52">
        <v>2</v>
      </c>
      <c r="J2" s="55">
        <v>2</v>
      </c>
      <c r="K2" s="49"/>
      <c r="L2" s="49"/>
      <c r="M2" s="49"/>
      <c r="N2" s="49"/>
    </row>
    <row r="3" ht="16.95" spans="1:14">
      <c r="A3" s="56">
        <v>2</v>
      </c>
      <c r="B3" s="51"/>
      <c r="C3" s="33" t="s">
        <v>18</v>
      </c>
      <c r="D3" s="57" t="s">
        <v>16</v>
      </c>
      <c r="E3" s="33">
        <v>1</v>
      </c>
      <c r="F3" s="58" t="s">
        <v>17</v>
      </c>
      <c r="G3" s="33">
        <v>3</v>
      </c>
      <c r="H3" s="33">
        <v>2</v>
      </c>
      <c r="I3" s="33">
        <v>4</v>
      </c>
      <c r="J3" s="59">
        <v>4</v>
      </c>
      <c r="K3" s="49"/>
      <c r="L3" s="49"/>
      <c r="M3" s="49"/>
      <c r="N3" s="49"/>
    </row>
    <row r="4" ht="16.95" spans="1:14">
      <c r="A4" s="56">
        <v>3</v>
      </c>
      <c r="B4" s="51"/>
      <c r="C4" s="33" t="s">
        <v>19</v>
      </c>
      <c r="D4" s="57" t="s">
        <v>16</v>
      </c>
      <c r="E4" s="33">
        <v>1</v>
      </c>
      <c r="F4" s="58" t="s">
        <v>17</v>
      </c>
      <c r="G4" s="33">
        <v>2</v>
      </c>
      <c r="H4" s="33">
        <v>1</v>
      </c>
      <c r="I4" s="33">
        <v>3</v>
      </c>
      <c r="J4" s="59">
        <v>3</v>
      </c>
      <c r="K4" s="49"/>
      <c r="L4" s="49"/>
      <c r="M4" s="49"/>
      <c r="N4" s="49"/>
    </row>
    <row r="5" ht="16.95" spans="1:14">
      <c r="A5" s="56">
        <v>4</v>
      </c>
      <c r="B5" s="51"/>
      <c r="C5" s="33" t="s">
        <v>20</v>
      </c>
      <c r="D5" s="57" t="s">
        <v>16</v>
      </c>
      <c r="E5" s="33">
        <v>1</v>
      </c>
      <c r="F5" s="58" t="s">
        <v>17</v>
      </c>
      <c r="G5" s="33">
        <v>2</v>
      </c>
      <c r="H5" s="33">
        <v>1</v>
      </c>
      <c r="I5" s="33">
        <v>3</v>
      </c>
      <c r="J5" s="59">
        <v>3</v>
      </c>
      <c r="K5" s="49"/>
      <c r="L5" s="49"/>
      <c r="M5" s="49"/>
      <c r="N5" s="49"/>
    </row>
    <row r="6" ht="16.95" spans="1:14">
      <c r="A6" s="56">
        <v>5</v>
      </c>
      <c r="B6" s="51"/>
      <c r="C6" s="33" t="s">
        <v>21</v>
      </c>
      <c r="D6" s="57" t="s">
        <v>16</v>
      </c>
      <c r="E6" s="33">
        <v>1</v>
      </c>
      <c r="F6" s="58" t="s">
        <v>17</v>
      </c>
      <c r="G6" s="33">
        <v>1</v>
      </c>
      <c r="H6" s="33">
        <v>2</v>
      </c>
      <c r="I6" s="33">
        <v>2</v>
      </c>
      <c r="J6" s="59">
        <v>3</v>
      </c>
      <c r="K6" s="49"/>
      <c r="L6" s="49"/>
      <c r="M6" s="49"/>
      <c r="N6" s="49"/>
    </row>
    <row r="7" ht="16.95" spans="1:14">
      <c r="A7" s="60">
        <v>6</v>
      </c>
      <c r="B7" s="51"/>
      <c r="C7" s="61" t="s">
        <v>22</v>
      </c>
      <c r="D7" s="62" t="s">
        <v>16</v>
      </c>
      <c r="E7" s="61">
        <v>1</v>
      </c>
      <c r="F7" s="63" t="s">
        <v>17</v>
      </c>
      <c r="G7" s="61">
        <v>1</v>
      </c>
      <c r="H7" s="61">
        <v>2</v>
      </c>
      <c r="I7" s="61">
        <v>2</v>
      </c>
      <c r="J7" s="64">
        <v>3</v>
      </c>
      <c r="K7" s="49">
        <f>SUM(G2:G7)</f>
        <v>11</v>
      </c>
      <c r="L7" s="49">
        <f>SUM(H2:H7)</f>
        <v>8</v>
      </c>
      <c r="M7" s="49">
        <f>SUM(I2:I7)</f>
        <v>16</v>
      </c>
      <c r="N7" s="49">
        <f>SUM(J2:J7)</f>
        <v>18</v>
      </c>
    </row>
    <row r="8" ht="31.95" spans="1:14">
      <c r="A8" s="65">
        <v>7</v>
      </c>
      <c r="B8" s="51" t="s">
        <v>23</v>
      </c>
      <c r="C8" s="52" t="s">
        <v>15</v>
      </c>
      <c r="D8" s="53" t="s">
        <v>16</v>
      </c>
      <c r="E8" s="52">
        <v>1</v>
      </c>
      <c r="F8" s="54" t="s">
        <v>24</v>
      </c>
      <c r="G8" s="52">
        <v>0</v>
      </c>
      <c r="H8" s="52">
        <v>1</v>
      </c>
      <c r="I8" s="52">
        <v>2</v>
      </c>
      <c r="J8" s="66">
        <v>2</v>
      </c>
      <c r="K8" s="49"/>
      <c r="L8" s="49"/>
      <c r="M8" s="49"/>
      <c r="N8" s="49"/>
    </row>
    <row r="9" ht="31.95" spans="1:14">
      <c r="A9" s="67">
        <v>8</v>
      </c>
      <c r="B9" s="68"/>
      <c r="C9" s="33" t="s">
        <v>18</v>
      </c>
      <c r="D9" s="57" t="s">
        <v>16</v>
      </c>
      <c r="E9" s="33">
        <v>1</v>
      </c>
      <c r="F9" s="58" t="s">
        <v>25</v>
      </c>
      <c r="G9" s="33">
        <v>3</v>
      </c>
      <c r="H9" s="33">
        <v>2</v>
      </c>
      <c r="I9" s="33">
        <v>3</v>
      </c>
      <c r="J9" s="69">
        <v>4</v>
      </c>
      <c r="K9" s="49"/>
      <c r="L9" s="49"/>
      <c r="M9" s="49"/>
      <c r="N9" s="49"/>
    </row>
    <row r="10" ht="47.55" spans="1:14">
      <c r="A10" s="67">
        <v>9</v>
      </c>
      <c r="B10" s="68"/>
      <c r="C10" s="33" t="s">
        <v>19</v>
      </c>
      <c r="D10" s="57" t="s">
        <v>16</v>
      </c>
      <c r="E10" s="33">
        <v>1</v>
      </c>
      <c r="F10" s="58" t="s">
        <v>26</v>
      </c>
      <c r="G10" s="33">
        <v>3</v>
      </c>
      <c r="H10" s="33">
        <v>0</v>
      </c>
      <c r="I10" s="33">
        <v>2</v>
      </c>
      <c r="J10" s="69">
        <v>2</v>
      </c>
      <c r="K10" s="49"/>
      <c r="L10" s="49"/>
      <c r="M10" s="49"/>
      <c r="N10" s="49"/>
    </row>
    <row r="11" ht="47.55" spans="1:14">
      <c r="A11" s="67">
        <v>10</v>
      </c>
      <c r="B11" s="68"/>
      <c r="C11" s="33" t="s">
        <v>20</v>
      </c>
      <c r="D11" s="57" t="s">
        <v>16</v>
      </c>
      <c r="E11" s="33">
        <v>1</v>
      </c>
      <c r="F11" s="58" t="s">
        <v>27</v>
      </c>
      <c r="G11" s="33">
        <v>2</v>
      </c>
      <c r="H11" s="33">
        <v>1</v>
      </c>
      <c r="I11" s="33">
        <v>2</v>
      </c>
      <c r="J11" s="69">
        <v>2</v>
      </c>
      <c r="K11" s="49"/>
      <c r="L11" s="49"/>
      <c r="M11" s="49"/>
      <c r="N11" s="49"/>
    </row>
    <row r="12" ht="31.95" spans="1:14">
      <c r="A12" s="67">
        <v>11</v>
      </c>
      <c r="B12" s="68"/>
      <c r="C12" s="33" t="s">
        <v>21</v>
      </c>
      <c r="D12" s="57" t="s">
        <v>16</v>
      </c>
      <c r="E12" s="33">
        <v>1</v>
      </c>
      <c r="F12" s="58" t="s">
        <v>28</v>
      </c>
      <c r="G12" s="33">
        <v>2</v>
      </c>
      <c r="H12" s="33">
        <v>2</v>
      </c>
      <c r="I12" s="33">
        <v>2</v>
      </c>
      <c r="J12" s="69">
        <v>3</v>
      </c>
      <c r="K12" s="49"/>
      <c r="L12" s="49"/>
      <c r="M12" s="49"/>
      <c r="N12" s="49"/>
    </row>
    <row r="13" ht="47.55" spans="1:14">
      <c r="A13" s="70">
        <v>12</v>
      </c>
      <c r="B13" s="71"/>
      <c r="C13" s="72" t="s">
        <v>22</v>
      </c>
      <c r="D13" s="73" t="s">
        <v>16</v>
      </c>
      <c r="E13" s="72">
        <v>1</v>
      </c>
      <c r="F13" s="74" t="s">
        <v>29</v>
      </c>
      <c r="G13" s="72">
        <v>1</v>
      </c>
      <c r="H13" s="72">
        <v>2</v>
      </c>
      <c r="I13" s="72">
        <v>2</v>
      </c>
      <c r="J13" s="75">
        <v>3</v>
      </c>
      <c r="K13" s="49">
        <f>SUM(G8:G13)</f>
        <v>11</v>
      </c>
      <c r="L13" s="49">
        <f>SUM(H8:H13)</f>
        <v>8</v>
      </c>
      <c r="M13" s="49">
        <f>SUM(I8:I13)</f>
        <v>13</v>
      </c>
      <c r="N13" s="49">
        <f>SUM(J8:J13)</f>
        <v>16</v>
      </c>
    </row>
    <row r="14" ht="31.95" spans="1:14">
      <c r="A14" s="76">
        <v>13</v>
      </c>
      <c r="B14" s="68" t="s">
        <v>30</v>
      </c>
      <c r="C14" s="77" t="s">
        <v>15</v>
      </c>
      <c r="D14" s="78" t="s">
        <v>16</v>
      </c>
      <c r="E14" s="77">
        <v>1</v>
      </c>
      <c r="F14" s="79" t="s">
        <v>31</v>
      </c>
      <c r="G14" s="77">
        <v>1</v>
      </c>
      <c r="H14" s="77">
        <v>0</v>
      </c>
      <c r="I14" s="77">
        <v>2</v>
      </c>
      <c r="J14" s="80">
        <v>2</v>
      </c>
      <c r="K14" s="49"/>
      <c r="L14" s="49"/>
      <c r="M14" s="49"/>
      <c r="N14" s="49"/>
    </row>
    <row r="15" ht="31.95" spans="1:14">
      <c r="A15" s="56">
        <v>14</v>
      </c>
      <c r="B15" s="68"/>
      <c r="C15" s="33" t="s">
        <v>18</v>
      </c>
      <c r="D15" s="57" t="s">
        <v>16</v>
      </c>
      <c r="E15" s="33">
        <v>1</v>
      </c>
      <c r="F15" s="58" t="s">
        <v>32</v>
      </c>
      <c r="G15" s="33">
        <v>2</v>
      </c>
      <c r="H15" s="33">
        <v>2</v>
      </c>
      <c r="I15" s="33">
        <v>3</v>
      </c>
      <c r="J15" s="59">
        <v>3</v>
      </c>
      <c r="K15" s="49"/>
      <c r="L15" s="49"/>
      <c r="M15" s="49"/>
      <c r="N15" s="49"/>
    </row>
    <row r="16" ht="16.95" spans="1:14">
      <c r="A16" s="56">
        <v>15</v>
      </c>
      <c r="B16" s="68"/>
      <c r="C16" s="33" t="s">
        <v>19</v>
      </c>
      <c r="D16" s="57" t="s">
        <v>16</v>
      </c>
      <c r="E16" s="33">
        <v>1</v>
      </c>
      <c r="F16" s="58" t="s">
        <v>33</v>
      </c>
      <c r="G16" s="33">
        <v>2</v>
      </c>
      <c r="H16" s="33">
        <v>1</v>
      </c>
      <c r="I16" s="33">
        <v>2</v>
      </c>
      <c r="J16" s="59">
        <v>2</v>
      </c>
      <c r="K16" s="49"/>
      <c r="L16" s="49"/>
      <c r="M16" s="49"/>
      <c r="N16" s="49"/>
    </row>
    <row r="17" ht="16.95" spans="1:14">
      <c r="A17" s="56">
        <v>16</v>
      </c>
      <c r="B17" s="68"/>
      <c r="C17" s="33" t="s">
        <v>20</v>
      </c>
      <c r="D17" s="57" t="s">
        <v>16</v>
      </c>
      <c r="E17" s="33">
        <v>1</v>
      </c>
      <c r="F17" s="58" t="s">
        <v>34</v>
      </c>
      <c r="G17" s="33">
        <v>2</v>
      </c>
      <c r="H17" s="33">
        <v>2</v>
      </c>
      <c r="I17" s="33">
        <v>2</v>
      </c>
      <c r="J17" s="59">
        <v>3</v>
      </c>
      <c r="K17" s="49"/>
      <c r="L17" s="49"/>
      <c r="M17" s="49"/>
      <c r="N17" s="49"/>
    </row>
    <row r="18" ht="31.95" spans="1:14">
      <c r="A18" s="56">
        <v>17</v>
      </c>
      <c r="B18" s="68"/>
      <c r="C18" s="33" t="s">
        <v>21</v>
      </c>
      <c r="D18" s="57" t="s">
        <v>16</v>
      </c>
      <c r="E18" s="33">
        <v>1</v>
      </c>
      <c r="F18" s="58" t="s">
        <v>35</v>
      </c>
      <c r="G18" s="33">
        <v>1</v>
      </c>
      <c r="H18" s="33">
        <v>1</v>
      </c>
      <c r="I18" s="33">
        <v>2</v>
      </c>
      <c r="J18" s="59">
        <v>3</v>
      </c>
      <c r="K18" s="49"/>
      <c r="L18" s="49"/>
      <c r="M18" s="49"/>
      <c r="N18" s="49"/>
    </row>
    <row r="19" ht="31.95" spans="1:14">
      <c r="A19" s="60">
        <v>18</v>
      </c>
      <c r="B19" s="68"/>
      <c r="C19" s="61" t="s">
        <v>22</v>
      </c>
      <c r="D19" s="62" t="s">
        <v>16</v>
      </c>
      <c r="E19" s="61">
        <v>1</v>
      </c>
      <c r="F19" s="63" t="s">
        <v>36</v>
      </c>
      <c r="G19" s="61">
        <v>1</v>
      </c>
      <c r="H19" s="61">
        <v>2</v>
      </c>
      <c r="I19" s="61">
        <v>2</v>
      </c>
      <c r="J19" s="64">
        <v>3</v>
      </c>
      <c r="K19" s="49">
        <f>SUM(G14:G19)</f>
        <v>9</v>
      </c>
      <c r="L19" s="49">
        <f>SUM(H14:H19)</f>
        <v>8</v>
      </c>
      <c r="M19" s="49">
        <f>SUM(I14:I19)</f>
        <v>13</v>
      </c>
      <c r="N19" s="49">
        <f>SUM(J14:J19)</f>
        <v>16</v>
      </c>
    </row>
    <row r="20" ht="31.95" spans="1:14">
      <c r="A20" s="76">
        <v>19</v>
      </c>
      <c r="B20" s="68" t="s">
        <v>37</v>
      </c>
      <c r="C20" s="77" t="s">
        <v>15</v>
      </c>
      <c r="D20" s="78" t="s">
        <v>16</v>
      </c>
      <c r="E20" s="77">
        <v>1</v>
      </c>
      <c r="F20" s="58" t="s">
        <v>38</v>
      </c>
      <c r="G20" s="77">
        <v>1</v>
      </c>
      <c r="H20" s="77">
        <v>1</v>
      </c>
      <c r="I20" s="77">
        <v>2</v>
      </c>
      <c r="J20" s="80">
        <v>2</v>
      </c>
      <c r="K20" s="49"/>
      <c r="L20" s="49"/>
      <c r="M20" s="49"/>
      <c r="N20" s="49"/>
    </row>
    <row r="21" ht="31.95" spans="1:14">
      <c r="A21" s="56">
        <v>20</v>
      </c>
      <c r="B21" s="68"/>
      <c r="C21" s="33" t="s">
        <v>18</v>
      </c>
      <c r="D21" s="57" t="s">
        <v>16</v>
      </c>
      <c r="E21" s="33">
        <v>1</v>
      </c>
      <c r="F21" s="58" t="s">
        <v>39</v>
      </c>
      <c r="G21" s="33">
        <v>4</v>
      </c>
      <c r="H21" s="33">
        <v>1</v>
      </c>
      <c r="I21" s="33">
        <v>3</v>
      </c>
      <c r="J21" s="59">
        <v>4</v>
      </c>
      <c r="K21" s="49"/>
      <c r="L21" s="49"/>
      <c r="M21" s="49"/>
      <c r="N21" s="49"/>
    </row>
    <row r="22" ht="16.95" spans="1:14">
      <c r="A22" s="56">
        <v>21</v>
      </c>
      <c r="B22" s="68"/>
      <c r="C22" s="33" t="s">
        <v>19</v>
      </c>
      <c r="D22" s="57" t="s">
        <v>16</v>
      </c>
      <c r="E22" s="33">
        <v>1</v>
      </c>
      <c r="F22" s="58" t="s">
        <v>40</v>
      </c>
      <c r="G22" s="33">
        <v>4</v>
      </c>
      <c r="H22" s="33">
        <v>-1</v>
      </c>
      <c r="I22" s="33">
        <v>2</v>
      </c>
      <c r="J22" s="59">
        <v>2</v>
      </c>
      <c r="K22" s="49"/>
      <c r="L22" s="49"/>
      <c r="M22" s="49"/>
      <c r="N22" s="49"/>
    </row>
    <row r="23" ht="31.95" spans="1:14">
      <c r="A23" s="56">
        <v>22</v>
      </c>
      <c r="B23" s="68"/>
      <c r="C23" s="33" t="s">
        <v>20</v>
      </c>
      <c r="D23" s="57" t="s">
        <v>16</v>
      </c>
      <c r="E23" s="33">
        <v>1</v>
      </c>
      <c r="F23" s="58" t="s">
        <v>38</v>
      </c>
      <c r="G23" s="33">
        <v>1</v>
      </c>
      <c r="H23" s="33">
        <v>1</v>
      </c>
      <c r="I23" s="33">
        <v>2</v>
      </c>
      <c r="J23" s="59">
        <v>2</v>
      </c>
      <c r="K23" s="49"/>
      <c r="L23" s="49"/>
      <c r="M23" s="49"/>
      <c r="N23" s="49"/>
    </row>
    <row r="24" ht="31.95" spans="1:14">
      <c r="A24" s="56">
        <v>23</v>
      </c>
      <c r="B24" s="68"/>
      <c r="C24" s="33" t="s">
        <v>21</v>
      </c>
      <c r="D24" s="57" t="s">
        <v>16</v>
      </c>
      <c r="E24" s="33">
        <v>1</v>
      </c>
      <c r="F24" s="58" t="s">
        <v>38</v>
      </c>
      <c r="G24" s="33">
        <v>2</v>
      </c>
      <c r="H24" s="33">
        <v>2</v>
      </c>
      <c r="I24" s="33">
        <v>2</v>
      </c>
      <c r="J24" s="59">
        <v>3</v>
      </c>
      <c r="K24" s="49"/>
      <c r="L24" s="49"/>
      <c r="M24" s="49"/>
      <c r="N24" s="49"/>
    </row>
    <row r="25" ht="31.95" spans="1:14">
      <c r="A25" s="60">
        <v>24</v>
      </c>
      <c r="B25" s="68"/>
      <c r="C25" s="61" t="s">
        <v>22</v>
      </c>
      <c r="D25" s="62" t="s">
        <v>16</v>
      </c>
      <c r="E25" s="61">
        <v>1</v>
      </c>
      <c r="F25" s="63" t="s">
        <v>38</v>
      </c>
      <c r="G25" s="61">
        <v>1</v>
      </c>
      <c r="H25" s="61">
        <v>2</v>
      </c>
      <c r="I25" s="61">
        <v>2</v>
      </c>
      <c r="J25" s="64">
        <v>3</v>
      </c>
      <c r="K25" s="49">
        <f>SUM(G20:G25)</f>
        <v>13</v>
      </c>
      <c r="L25" s="49">
        <f>SUM(H20:H25)</f>
        <v>6</v>
      </c>
      <c r="M25" s="49">
        <f>SUM(I20:I25)</f>
        <v>13</v>
      </c>
      <c r="N25" s="49">
        <f>SUM(J20:J25)</f>
        <v>16</v>
      </c>
    </row>
    <row r="26" ht="31.2" spans="1:14">
      <c r="A26" s="76">
        <v>25</v>
      </c>
      <c r="B26" s="81" t="s">
        <v>41</v>
      </c>
      <c r="C26" s="77" t="s">
        <v>15</v>
      </c>
      <c r="D26" s="78" t="s">
        <v>16</v>
      </c>
      <c r="E26" s="77">
        <v>1</v>
      </c>
      <c r="F26" s="79" t="s">
        <v>42</v>
      </c>
      <c r="G26" s="77">
        <v>1</v>
      </c>
      <c r="H26" s="77">
        <v>0</v>
      </c>
      <c r="I26" s="77">
        <v>1</v>
      </c>
      <c r="J26" s="80">
        <v>1</v>
      </c>
      <c r="K26" s="49"/>
      <c r="L26" s="49"/>
      <c r="M26" s="49"/>
      <c r="N26" s="49"/>
    </row>
    <row r="27" ht="31.2" spans="1:14">
      <c r="A27" s="56">
        <v>26</v>
      </c>
      <c r="B27" s="81"/>
      <c r="C27" s="33" t="s">
        <v>18</v>
      </c>
      <c r="D27" s="57" t="s">
        <v>16</v>
      </c>
      <c r="E27" s="33">
        <v>1</v>
      </c>
      <c r="F27" s="58" t="s">
        <v>43</v>
      </c>
      <c r="G27" s="33">
        <v>2</v>
      </c>
      <c r="H27" s="33">
        <v>2</v>
      </c>
      <c r="I27" s="33">
        <v>3</v>
      </c>
      <c r="J27" s="59">
        <v>4</v>
      </c>
      <c r="K27" s="49"/>
      <c r="L27" s="49"/>
      <c r="M27" s="49"/>
      <c r="N27" s="49"/>
    </row>
    <row r="28" ht="46.8" spans="1:14">
      <c r="A28" s="56">
        <v>27</v>
      </c>
      <c r="B28" s="81"/>
      <c r="C28" s="33" t="s">
        <v>19</v>
      </c>
      <c r="D28" s="57" t="s">
        <v>16</v>
      </c>
      <c r="E28" s="33">
        <v>1</v>
      </c>
      <c r="F28" s="58" t="s">
        <v>44</v>
      </c>
      <c r="G28" s="33">
        <v>2</v>
      </c>
      <c r="H28" s="33">
        <v>0</v>
      </c>
      <c r="I28" s="33">
        <v>2</v>
      </c>
      <c r="J28" s="59">
        <v>2</v>
      </c>
      <c r="K28" s="49"/>
      <c r="L28" s="49"/>
      <c r="M28" s="49"/>
      <c r="N28" s="49"/>
    </row>
    <row r="29" ht="31.2" spans="1:14">
      <c r="A29" s="56">
        <v>28</v>
      </c>
      <c r="B29" s="81"/>
      <c r="C29" s="33" t="s">
        <v>20</v>
      </c>
      <c r="D29" s="57" t="s">
        <v>16</v>
      </c>
      <c r="E29" s="33">
        <v>1</v>
      </c>
      <c r="F29" s="58" t="s">
        <v>45</v>
      </c>
      <c r="G29" s="33">
        <v>2</v>
      </c>
      <c r="H29" s="33">
        <v>2</v>
      </c>
      <c r="I29" s="33">
        <v>2</v>
      </c>
      <c r="J29" s="59">
        <v>3</v>
      </c>
      <c r="K29" s="49"/>
      <c r="L29" s="49"/>
      <c r="M29" s="49"/>
      <c r="N29" s="49"/>
    </row>
    <row r="30" ht="16.2" spans="1:14">
      <c r="A30" s="56">
        <v>29</v>
      </c>
      <c r="B30" s="81"/>
      <c r="C30" s="33" t="s">
        <v>21</v>
      </c>
      <c r="D30" s="57" t="s">
        <v>16</v>
      </c>
      <c r="E30" s="33">
        <v>1</v>
      </c>
      <c r="F30" s="58" t="s">
        <v>40</v>
      </c>
      <c r="G30" s="33">
        <v>0</v>
      </c>
      <c r="H30" s="33">
        <v>4</v>
      </c>
      <c r="I30" s="33">
        <v>2</v>
      </c>
      <c r="J30" s="59">
        <v>3</v>
      </c>
      <c r="K30" s="49"/>
      <c r="L30" s="49"/>
      <c r="M30" s="49"/>
      <c r="N30" s="49"/>
    </row>
    <row r="31" ht="16.95" spans="1:14">
      <c r="A31" s="82">
        <v>30</v>
      </c>
      <c r="B31" s="81"/>
      <c r="C31" s="45" t="s">
        <v>22</v>
      </c>
      <c r="D31" s="83" t="s">
        <v>16</v>
      </c>
      <c r="E31" s="45">
        <v>1</v>
      </c>
      <c r="F31" s="47" t="s">
        <v>46</v>
      </c>
      <c r="G31" s="45">
        <v>0</v>
      </c>
      <c r="H31" s="45">
        <v>4</v>
      </c>
      <c r="I31" s="45">
        <v>3</v>
      </c>
      <c r="J31" s="84">
        <v>3</v>
      </c>
      <c r="K31" s="49">
        <f>SUM(G26:G31)</f>
        <v>7</v>
      </c>
      <c r="L31" s="49">
        <f>SUM(H26:H31)</f>
        <v>12</v>
      </c>
      <c r="M31" s="49">
        <f>SUM(I26:I31)</f>
        <v>13</v>
      </c>
      <c r="N31" s="49">
        <f>SUM(J26:J31)</f>
        <v>16</v>
      </c>
    </row>
    <row r="32" ht="31.95" spans="1:14">
      <c r="A32" s="50">
        <v>31</v>
      </c>
      <c r="B32" s="85" t="s">
        <v>47</v>
      </c>
      <c r="C32" s="52" t="s">
        <v>15</v>
      </c>
      <c r="D32" s="53" t="s">
        <v>16</v>
      </c>
      <c r="E32" s="52">
        <v>1</v>
      </c>
      <c r="F32" s="54" t="s">
        <v>48</v>
      </c>
      <c r="G32" s="52">
        <v>3</v>
      </c>
      <c r="H32" s="52">
        <v>0</v>
      </c>
      <c r="I32" s="52">
        <v>3</v>
      </c>
      <c r="J32" s="55">
        <v>4</v>
      </c>
      <c r="K32" s="49"/>
      <c r="L32" s="49"/>
      <c r="M32" s="49"/>
      <c r="N32" s="49"/>
    </row>
    <row r="33" ht="16.95" spans="1:14">
      <c r="A33" s="56">
        <v>32</v>
      </c>
      <c r="B33" s="85"/>
      <c r="C33" s="33" t="s">
        <v>18</v>
      </c>
      <c r="D33" s="57" t="s">
        <v>16</v>
      </c>
      <c r="E33" s="33">
        <v>1</v>
      </c>
      <c r="F33" s="58" t="s">
        <v>49</v>
      </c>
      <c r="G33" s="33">
        <v>3</v>
      </c>
      <c r="H33" s="33">
        <v>1</v>
      </c>
      <c r="I33" s="33">
        <v>2</v>
      </c>
      <c r="J33" s="59">
        <v>2</v>
      </c>
      <c r="K33" s="49"/>
      <c r="L33" s="49"/>
      <c r="M33" s="49"/>
      <c r="N33" s="49"/>
    </row>
    <row r="34" ht="31.95" spans="1:14">
      <c r="A34" s="56">
        <v>33</v>
      </c>
      <c r="B34" s="85"/>
      <c r="C34" s="33" t="s">
        <v>19</v>
      </c>
      <c r="D34" s="57" t="s">
        <v>16</v>
      </c>
      <c r="E34" s="33">
        <v>1</v>
      </c>
      <c r="F34" s="58" t="s">
        <v>50</v>
      </c>
      <c r="G34" s="33">
        <v>1</v>
      </c>
      <c r="H34" s="33">
        <v>1</v>
      </c>
      <c r="I34" s="33">
        <v>2</v>
      </c>
      <c r="J34" s="59">
        <v>2</v>
      </c>
      <c r="K34" s="49"/>
      <c r="L34" s="49"/>
      <c r="M34" s="49"/>
      <c r="N34" s="49"/>
    </row>
    <row r="35" ht="31.95" spans="1:14">
      <c r="A35" s="56">
        <v>34</v>
      </c>
      <c r="B35" s="85"/>
      <c r="C35" s="33" t="s">
        <v>20</v>
      </c>
      <c r="D35" s="57" t="s">
        <v>16</v>
      </c>
      <c r="E35" s="33">
        <v>1</v>
      </c>
      <c r="F35" s="58" t="s">
        <v>51</v>
      </c>
      <c r="G35" s="33">
        <v>1</v>
      </c>
      <c r="H35" s="33">
        <v>1</v>
      </c>
      <c r="I35" s="33">
        <v>2</v>
      </c>
      <c r="J35" s="59">
        <v>2</v>
      </c>
      <c r="K35" s="49"/>
      <c r="L35" s="49"/>
      <c r="M35" s="49"/>
      <c r="N35" s="49"/>
    </row>
    <row r="36" ht="31.95" spans="1:14">
      <c r="A36" s="56">
        <v>35</v>
      </c>
      <c r="B36" s="85"/>
      <c r="C36" s="33" t="s">
        <v>21</v>
      </c>
      <c r="D36" s="57" t="s">
        <v>16</v>
      </c>
      <c r="E36" s="33">
        <v>1</v>
      </c>
      <c r="F36" s="58" t="s">
        <v>52</v>
      </c>
      <c r="G36" s="33">
        <v>2</v>
      </c>
      <c r="H36" s="33">
        <v>2</v>
      </c>
      <c r="I36" s="33">
        <v>2</v>
      </c>
      <c r="J36" s="59">
        <v>3</v>
      </c>
      <c r="K36" s="49"/>
      <c r="L36" s="49"/>
      <c r="M36" s="49"/>
      <c r="N36" s="49"/>
    </row>
    <row r="37" ht="31.95" spans="1:14">
      <c r="A37" s="82">
        <v>36</v>
      </c>
      <c r="B37" s="85"/>
      <c r="C37" s="45" t="s">
        <v>22</v>
      </c>
      <c r="D37" s="83" t="s">
        <v>16</v>
      </c>
      <c r="E37" s="45">
        <v>1</v>
      </c>
      <c r="F37" s="47" t="s">
        <v>53</v>
      </c>
      <c r="G37" s="45">
        <v>2</v>
      </c>
      <c r="H37" s="45">
        <v>2</v>
      </c>
      <c r="I37" s="45">
        <v>2</v>
      </c>
      <c r="J37" s="84">
        <v>3</v>
      </c>
      <c r="K37" s="49">
        <f>SUM(G32:G37)</f>
        <v>12</v>
      </c>
      <c r="L37" s="49">
        <f>SUM(H32:H37)</f>
        <v>7</v>
      </c>
      <c r="M37" s="49">
        <f>SUM(I32:I37)</f>
        <v>13</v>
      </c>
      <c r="N37" s="49">
        <f>SUM(J32:J37)</f>
        <v>16</v>
      </c>
    </row>
    <row r="38" ht="63.15" spans="1:14">
      <c r="A38" s="50">
        <v>37</v>
      </c>
      <c r="B38" s="85" t="s">
        <v>54</v>
      </c>
      <c r="C38" s="52" t="s">
        <v>15</v>
      </c>
      <c r="D38" s="53" t="s">
        <v>16</v>
      </c>
      <c r="E38" s="52">
        <v>1</v>
      </c>
      <c r="F38" s="54" t="s">
        <v>55</v>
      </c>
      <c r="G38" s="52">
        <v>0</v>
      </c>
      <c r="H38" s="52">
        <v>1</v>
      </c>
      <c r="I38" s="52">
        <v>2</v>
      </c>
      <c r="J38" s="55">
        <v>2</v>
      </c>
      <c r="K38" s="49"/>
      <c r="L38" s="49"/>
      <c r="M38" s="49"/>
      <c r="N38" s="49"/>
    </row>
    <row r="39" ht="16.95" spans="1:14">
      <c r="A39" s="56">
        <v>38</v>
      </c>
      <c r="B39" s="85"/>
      <c r="C39" s="33" t="s">
        <v>18</v>
      </c>
      <c r="D39" s="57" t="s">
        <v>16</v>
      </c>
      <c r="E39" s="33">
        <v>1</v>
      </c>
      <c r="F39" s="47" t="s">
        <v>56</v>
      </c>
      <c r="G39" s="33">
        <v>2</v>
      </c>
      <c r="H39" s="33">
        <v>0</v>
      </c>
      <c r="I39" s="33">
        <v>2</v>
      </c>
      <c r="J39" s="59">
        <v>2</v>
      </c>
      <c r="K39" s="49"/>
      <c r="L39" s="49"/>
      <c r="M39" s="49"/>
      <c r="N39" s="49"/>
    </row>
    <row r="40" ht="31.95" spans="1:14">
      <c r="A40" s="56">
        <v>39</v>
      </c>
      <c r="B40" s="85"/>
      <c r="C40" s="33" t="s">
        <v>19</v>
      </c>
      <c r="D40" s="57" t="s">
        <v>16</v>
      </c>
      <c r="E40" s="33">
        <v>1</v>
      </c>
      <c r="F40" s="58" t="s">
        <v>57</v>
      </c>
      <c r="G40" s="33">
        <v>2</v>
      </c>
      <c r="H40" s="33">
        <v>2</v>
      </c>
      <c r="I40" s="33">
        <v>3</v>
      </c>
      <c r="J40" s="59">
        <v>3</v>
      </c>
      <c r="K40" s="49"/>
      <c r="L40" s="49"/>
      <c r="M40" s="49"/>
      <c r="N40" s="49"/>
    </row>
    <row r="41" ht="31.95" spans="1:14">
      <c r="A41" s="56">
        <v>40</v>
      </c>
      <c r="B41" s="85"/>
      <c r="C41" s="33" t="s">
        <v>20</v>
      </c>
      <c r="D41" s="57" t="s">
        <v>16</v>
      </c>
      <c r="E41" s="33">
        <v>1</v>
      </c>
      <c r="F41" s="58" t="s">
        <v>57</v>
      </c>
      <c r="G41" s="33">
        <v>2</v>
      </c>
      <c r="H41" s="33">
        <v>2</v>
      </c>
      <c r="I41" s="33">
        <v>3</v>
      </c>
      <c r="J41" s="59">
        <v>3</v>
      </c>
      <c r="K41" s="49"/>
      <c r="L41" s="49"/>
      <c r="M41" s="49"/>
      <c r="N41" s="49"/>
    </row>
    <row r="42" ht="31.95" spans="1:14">
      <c r="A42" s="56">
        <v>41</v>
      </c>
      <c r="B42" s="85"/>
      <c r="C42" s="33" t="s">
        <v>21</v>
      </c>
      <c r="D42" s="57" t="s">
        <v>16</v>
      </c>
      <c r="E42" s="33">
        <v>1</v>
      </c>
      <c r="F42" s="58" t="s">
        <v>58</v>
      </c>
      <c r="G42" s="33">
        <v>1</v>
      </c>
      <c r="H42" s="33">
        <v>3</v>
      </c>
      <c r="I42" s="33">
        <v>2</v>
      </c>
      <c r="J42" s="59">
        <v>3</v>
      </c>
      <c r="K42" s="49"/>
      <c r="L42" s="49"/>
      <c r="M42" s="49"/>
      <c r="N42" s="49"/>
    </row>
    <row r="43" ht="47.55" spans="1:14">
      <c r="A43" s="82">
        <v>42</v>
      </c>
      <c r="B43" s="85"/>
      <c r="C43" s="45" t="s">
        <v>22</v>
      </c>
      <c r="D43" s="83" t="s">
        <v>16</v>
      </c>
      <c r="E43" s="45">
        <v>1</v>
      </c>
      <c r="F43" s="47" t="s">
        <v>27</v>
      </c>
      <c r="G43" s="45">
        <v>1</v>
      </c>
      <c r="H43" s="45">
        <v>3</v>
      </c>
      <c r="I43" s="45">
        <v>1</v>
      </c>
      <c r="J43" s="84">
        <v>3</v>
      </c>
      <c r="K43" s="49">
        <f>SUM(G38:G43)</f>
        <v>8</v>
      </c>
      <c r="L43" s="49">
        <f>SUM(H38:H43)</f>
        <v>11</v>
      </c>
      <c r="M43" s="49">
        <f>SUM(I38:I43)</f>
        <v>13</v>
      </c>
      <c r="N43" s="49">
        <f>SUM(J38:J43)</f>
        <v>16</v>
      </c>
    </row>
    <row r="44" ht="31.2" spans="1:14">
      <c r="A44" s="86">
        <v>43</v>
      </c>
      <c r="B44" s="87" t="s">
        <v>59</v>
      </c>
      <c r="C44" s="88" t="s">
        <v>15</v>
      </c>
      <c r="D44" s="87" t="s">
        <v>60</v>
      </c>
      <c r="E44" s="88">
        <v>1</v>
      </c>
      <c r="F44" s="89" t="s">
        <v>61</v>
      </c>
      <c r="G44" s="88">
        <v>2</v>
      </c>
      <c r="H44" s="88">
        <v>1</v>
      </c>
      <c r="I44" s="88">
        <v>3</v>
      </c>
      <c r="J44" s="90">
        <v>3</v>
      </c>
      <c r="K44" s="49"/>
      <c r="L44" s="49"/>
      <c r="M44" s="49"/>
      <c r="N44" s="49"/>
    </row>
    <row r="45" ht="31.2" spans="1:14">
      <c r="A45" s="91">
        <v>44</v>
      </c>
      <c r="B45" s="92"/>
      <c r="C45" s="93" t="s">
        <v>18</v>
      </c>
      <c r="D45" s="92" t="s">
        <v>60</v>
      </c>
      <c r="E45" s="93">
        <v>1</v>
      </c>
      <c r="F45" s="94" t="s">
        <v>62</v>
      </c>
      <c r="G45" s="93">
        <v>2</v>
      </c>
      <c r="H45" s="93">
        <v>3</v>
      </c>
      <c r="I45" s="93">
        <v>5</v>
      </c>
      <c r="J45" s="95">
        <v>5</v>
      </c>
      <c r="K45" s="49"/>
      <c r="L45" s="49"/>
      <c r="M45" s="49"/>
      <c r="N45" s="49"/>
    </row>
    <row r="46" ht="31.2" spans="1:14">
      <c r="A46" s="91">
        <v>45</v>
      </c>
      <c r="B46" s="92"/>
      <c r="C46" s="93" t="s">
        <v>19</v>
      </c>
      <c r="D46" s="92" t="s">
        <v>60</v>
      </c>
      <c r="E46" s="93">
        <v>1</v>
      </c>
      <c r="F46" s="94" t="s">
        <v>62</v>
      </c>
      <c r="G46" s="93">
        <v>3</v>
      </c>
      <c r="H46" s="93">
        <v>1</v>
      </c>
      <c r="I46" s="93">
        <v>4</v>
      </c>
      <c r="J46" s="95">
        <v>4</v>
      </c>
      <c r="K46" s="49"/>
      <c r="L46" s="49"/>
      <c r="M46" s="49"/>
      <c r="N46" s="49"/>
    </row>
    <row r="47" ht="31.2" spans="1:14">
      <c r="A47" s="91">
        <v>46</v>
      </c>
      <c r="B47" s="92"/>
      <c r="C47" s="93" t="s">
        <v>20</v>
      </c>
      <c r="D47" s="92" t="s">
        <v>60</v>
      </c>
      <c r="E47" s="93">
        <v>1</v>
      </c>
      <c r="F47" s="94" t="s">
        <v>62</v>
      </c>
      <c r="G47" s="93">
        <v>3</v>
      </c>
      <c r="H47" s="93">
        <v>1</v>
      </c>
      <c r="I47" s="93">
        <v>4</v>
      </c>
      <c r="J47" s="95">
        <v>4</v>
      </c>
      <c r="K47" s="49"/>
      <c r="L47" s="49"/>
      <c r="M47" s="49"/>
      <c r="N47" s="49"/>
    </row>
    <row r="48" ht="31.2" spans="1:14">
      <c r="A48" s="91">
        <v>47</v>
      </c>
      <c r="B48" s="92"/>
      <c r="C48" s="93" t="s">
        <v>21</v>
      </c>
      <c r="D48" s="92" t="s">
        <v>60</v>
      </c>
      <c r="E48" s="93">
        <v>1</v>
      </c>
      <c r="F48" s="94" t="s">
        <v>61</v>
      </c>
      <c r="G48" s="93">
        <v>2</v>
      </c>
      <c r="H48" s="93">
        <v>2</v>
      </c>
      <c r="I48" s="93">
        <v>3</v>
      </c>
      <c r="J48" s="95">
        <v>4</v>
      </c>
      <c r="K48" s="49"/>
      <c r="L48" s="49"/>
      <c r="M48" s="49"/>
      <c r="N48" s="49"/>
    </row>
    <row r="49" ht="31.95" spans="1:14">
      <c r="A49" s="96">
        <v>48</v>
      </c>
      <c r="B49" s="97"/>
      <c r="C49" s="98" t="s">
        <v>22</v>
      </c>
      <c r="D49" s="97" t="s">
        <v>60</v>
      </c>
      <c r="E49" s="98">
        <v>1</v>
      </c>
      <c r="F49" s="99" t="s">
        <v>61</v>
      </c>
      <c r="G49" s="98">
        <v>2</v>
      </c>
      <c r="H49" s="98">
        <v>2</v>
      </c>
      <c r="I49" s="98">
        <v>3</v>
      </c>
      <c r="J49" s="100">
        <v>4</v>
      </c>
      <c r="K49" s="49">
        <f>SUM(G44:G49)</f>
        <v>14</v>
      </c>
      <c r="L49" s="49">
        <f>SUM(H44:H49)</f>
        <v>10</v>
      </c>
      <c r="M49" s="49">
        <f>SUM(I44:I49)</f>
        <v>22</v>
      </c>
      <c r="N49" s="49">
        <f>SUM(J44:J49)</f>
        <v>24</v>
      </c>
    </row>
    <row r="50" ht="31.95" spans="1:14">
      <c r="A50" s="76">
        <v>49</v>
      </c>
      <c r="B50" s="101" t="s">
        <v>63</v>
      </c>
      <c r="C50" s="77" t="s">
        <v>15</v>
      </c>
      <c r="D50" s="102" t="s">
        <v>60</v>
      </c>
      <c r="E50" s="77">
        <v>1</v>
      </c>
      <c r="F50" s="79" t="s">
        <v>24</v>
      </c>
      <c r="G50" s="77">
        <v>1</v>
      </c>
      <c r="H50" s="77">
        <v>1</v>
      </c>
      <c r="I50" s="77">
        <v>3</v>
      </c>
      <c r="J50" s="80">
        <v>3</v>
      </c>
      <c r="K50" s="49"/>
      <c r="L50" s="49"/>
      <c r="M50" s="49"/>
      <c r="N50" s="49"/>
    </row>
    <row r="51" ht="47.55" spans="1:14">
      <c r="A51" s="56">
        <v>50</v>
      </c>
      <c r="B51" s="103"/>
      <c r="C51" s="33" t="s">
        <v>18</v>
      </c>
      <c r="D51" s="42" t="s">
        <v>60</v>
      </c>
      <c r="E51" s="33">
        <v>1</v>
      </c>
      <c r="F51" s="58" t="s">
        <v>64</v>
      </c>
      <c r="G51" s="33">
        <v>4</v>
      </c>
      <c r="H51" s="33">
        <v>2</v>
      </c>
      <c r="I51" s="33">
        <v>4</v>
      </c>
      <c r="J51" s="59">
        <v>5</v>
      </c>
      <c r="K51" s="49"/>
      <c r="L51" s="49"/>
      <c r="M51" s="49"/>
      <c r="N51" s="49"/>
    </row>
    <row r="52" ht="31.95" spans="1:14">
      <c r="A52" s="56">
        <v>51</v>
      </c>
      <c r="B52" s="103"/>
      <c r="C52" s="33" t="s">
        <v>19</v>
      </c>
      <c r="D52" s="42" t="s">
        <v>60</v>
      </c>
      <c r="E52" s="33">
        <v>1</v>
      </c>
      <c r="F52" s="58" t="s">
        <v>65</v>
      </c>
      <c r="G52" s="33">
        <v>3</v>
      </c>
      <c r="H52" s="33">
        <v>1</v>
      </c>
      <c r="I52" s="33">
        <v>3</v>
      </c>
      <c r="J52" s="59">
        <v>3</v>
      </c>
      <c r="K52" s="49"/>
      <c r="L52" s="49"/>
      <c r="M52" s="49"/>
      <c r="N52" s="49"/>
    </row>
    <row r="53" ht="31.95" spans="1:14">
      <c r="A53" s="56">
        <v>52</v>
      </c>
      <c r="B53" s="103"/>
      <c r="C53" s="33" t="s">
        <v>20</v>
      </c>
      <c r="D53" s="42" t="s">
        <v>60</v>
      </c>
      <c r="E53" s="33">
        <v>1</v>
      </c>
      <c r="F53" s="58" t="s">
        <v>66</v>
      </c>
      <c r="G53" s="33">
        <v>3</v>
      </c>
      <c r="H53" s="33">
        <v>1</v>
      </c>
      <c r="I53" s="33">
        <v>3</v>
      </c>
      <c r="J53" s="59">
        <v>3</v>
      </c>
      <c r="K53" s="49"/>
      <c r="L53" s="49"/>
      <c r="M53" s="49"/>
      <c r="N53" s="49"/>
    </row>
    <row r="54" ht="31.95" spans="1:14">
      <c r="A54" s="56">
        <v>53</v>
      </c>
      <c r="B54" s="103"/>
      <c r="C54" s="33" t="s">
        <v>21</v>
      </c>
      <c r="D54" s="42" t="s">
        <v>60</v>
      </c>
      <c r="E54" s="33">
        <v>1</v>
      </c>
      <c r="F54" s="58" t="s">
        <v>67</v>
      </c>
      <c r="G54" s="33">
        <v>2</v>
      </c>
      <c r="H54" s="33">
        <v>2</v>
      </c>
      <c r="I54" s="33">
        <v>3</v>
      </c>
      <c r="J54" s="59">
        <v>4</v>
      </c>
      <c r="K54" s="49"/>
      <c r="L54" s="49"/>
      <c r="M54" s="49"/>
      <c r="N54" s="49"/>
    </row>
    <row r="55" ht="47.55" spans="1:14">
      <c r="A55" s="60">
        <v>54</v>
      </c>
      <c r="B55" s="103"/>
      <c r="C55" s="61" t="s">
        <v>22</v>
      </c>
      <c r="D55" s="104" t="s">
        <v>60</v>
      </c>
      <c r="E55" s="61">
        <v>1</v>
      </c>
      <c r="F55" s="63" t="s">
        <v>68</v>
      </c>
      <c r="G55" s="61">
        <v>2</v>
      </c>
      <c r="H55" s="61">
        <v>2</v>
      </c>
      <c r="I55" s="61">
        <v>3</v>
      </c>
      <c r="J55" s="64">
        <v>4</v>
      </c>
      <c r="K55" s="49">
        <f>SUM(G50:G55)</f>
        <v>15</v>
      </c>
      <c r="L55" s="49">
        <f>SUM(H50:H55)</f>
        <v>9</v>
      </c>
      <c r="M55" s="49">
        <f>SUM(I50:I55)</f>
        <v>19</v>
      </c>
      <c r="N55" s="49">
        <f>SUM(J50:J55)</f>
        <v>22</v>
      </c>
    </row>
    <row r="56" ht="31.2" spans="1:14">
      <c r="A56" s="76">
        <v>55</v>
      </c>
      <c r="B56" s="105" t="s">
        <v>69</v>
      </c>
      <c r="C56" s="77" t="s">
        <v>15</v>
      </c>
      <c r="D56" s="102" t="s">
        <v>60</v>
      </c>
      <c r="E56" s="77">
        <v>1</v>
      </c>
      <c r="F56" s="79" t="s">
        <v>31</v>
      </c>
      <c r="G56" s="77">
        <v>1</v>
      </c>
      <c r="H56" s="77">
        <v>1</v>
      </c>
      <c r="I56" s="77">
        <v>3</v>
      </c>
      <c r="J56" s="80">
        <v>3</v>
      </c>
      <c r="K56" s="49"/>
      <c r="L56" s="49"/>
      <c r="M56" s="49"/>
      <c r="N56" s="49"/>
    </row>
    <row r="57" ht="46.8" spans="1:14">
      <c r="A57" s="56">
        <v>56</v>
      </c>
      <c r="B57" s="105"/>
      <c r="C57" s="33" t="s">
        <v>18</v>
      </c>
      <c r="D57" s="42" t="s">
        <v>60</v>
      </c>
      <c r="E57" s="33">
        <v>1</v>
      </c>
      <c r="F57" s="58" t="s">
        <v>70</v>
      </c>
      <c r="G57" s="33">
        <v>3</v>
      </c>
      <c r="H57" s="33">
        <v>2</v>
      </c>
      <c r="I57" s="33">
        <v>4</v>
      </c>
      <c r="J57" s="59">
        <v>4</v>
      </c>
      <c r="K57" s="49"/>
      <c r="L57" s="49"/>
      <c r="M57" s="49"/>
      <c r="N57" s="49"/>
    </row>
    <row r="58" ht="31.2" spans="1:14">
      <c r="A58" s="56">
        <v>57</v>
      </c>
      <c r="B58" s="105"/>
      <c r="C58" s="33" t="s">
        <v>19</v>
      </c>
      <c r="D58" s="42" t="s">
        <v>60</v>
      </c>
      <c r="E58" s="33">
        <v>1</v>
      </c>
      <c r="F58" s="58" t="s">
        <v>71</v>
      </c>
      <c r="G58" s="33">
        <v>3</v>
      </c>
      <c r="H58" s="33">
        <v>1</v>
      </c>
      <c r="I58" s="33">
        <v>3</v>
      </c>
      <c r="J58" s="59">
        <v>3</v>
      </c>
      <c r="K58" s="49"/>
      <c r="L58" s="49"/>
      <c r="M58" s="49"/>
      <c r="N58" s="49"/>
    </row>
    <row r="59" ht="31.2" spans="1:14">
      <c r="A59" s="56">
        <v>58</v>
      </c>
      <c r="B59" s="105"/>
      <c r="C59" s="33" t="s">
        <v>20</v>
      </c>
      <c r="D59" s="42" t="s">
        <v>60</v>
      </c>
      <c r="E59" s="33">
        <v>1</v>
      </c>
      <c r="F59" s="58" t="s">
        <v>72</v>
      </c>
      <c r="G59" s="33">
        <v>2</v>
      </c>
      <c r="H59" s="33">
        <v>2</v>
      </c>
      <c r="I59" s="33">
        <v>3</v>
      </c>
      <c r="J59" s="59">
        <v>4</v>
      </c>
      <c r="K59" s="49"/>
      <c r="L59" s="49"/>
      <c r="M59" s="49"/>
      <c r="N59" s="49"/>
    </row>
    <row r="60" ht="31.2" spans="1:14">
      <c r="A60" s="56">
        <v>59</v>
      </c>
      <c r="B60" s="105"/>
      <c r="C60" s="33" t="s">
        <v>21</v>
      </c>
      <c r="D60" s="42" t="s">
        <v>60</v>
      </c>
      <c r="E60" s="33">
        <v>1</v>
      </c>
      <c r="F60" s="58" t="s">
        <v>73</v>
      </c>
      <c r="G60" s="33">
        <v>1</v>
      </c>
      <c r="H60" s="33">
        <v>3</v>
      </c>
      <c r="I60" s="33">
        <v>3</v>
      </c>
      <c r="J60" s="59">
        <v>4</v>
      </c>
      <c r="K60" s="49"/>
      <c r="L60" s="49"/>
      <c r="M60" s="49"/>
      <c r="N60" s="49"/>
    </row>
    <row r="61" ht="31.95" spans="1:14">
      <c r="A61" s="82">
        <v>60</v>
      </c>
      <c r="B61" s="105"/>
      <c r="C61" s="45" t="s">
        <v>22</v>
      </c>
      <c r="D61" s="106" t="s">
        <v>60</v>
      </c>
      <c r="E61" s="45">
        <v>1</v>
      </c>
      <c r="F61" s="47" t="s">
        <v>74</v>
      </c>
      <c r="G61" s="61">
        <v>2</v>
      </c>
      <c r="H61" s="61">
        <v>3</v>
      </c>
      <c r="I61" s="61">
        <v>3</v>
      </c>
      <c r="J61" s="64">
        <v>4</v>
      </c>
      <c r="K61" s="49">
        <f>SUM(G56:G61)</f>
        <v>12</v>
      </c>
      <c r="L61" s="49">
        <f>SUM(H56:H61)</f>
        <v>12</v>
      </c>
      <c r="M61" s="49">
        <f>SUM(I56:I61)</f>
        <v>19</v>
      </c>
      <c r="N61" s="49">
        <f>SUM(J56:J61)</f>
        <v>22</v>
      </c>
    </row>
    <row r="62" ht="31.95" spans="1:14">
      <c r="A62" s="50">
        <v>61</v>
      </c>
      <c r="B62" s="107" t="s">
        <v>75</v>
      </c>
      <c r="C62" s="52" t="s">
        <v>15</v>
      </c>
      <c r="D62" s="108" t="s">
        <v>60</v>
      </c>
      <c r="E62" s="52">
        <v>1</v>
      </c>
      <c r="F62" s="54" t="s">
        <v>76</v>
      </c>
      <c r="G62" s="77">
        <v>2</v>
      </c>
      <c r="H62" s="77">
        <v>1</v>
      </c>
      <c r="I62" s="77">
        <v>3</v>
      </c>
      <c r="J62" s="80">
        <v>3</v>
      </c>
      <c r="K62" s="49"/>
      <c r="L62" s="49"/>
      <c r="M62" s="49"/>
      <c r="N62" s="49"/>
    </row>
    <row r="63" ht="31.95" spans="1:14">
      <c r="A63" s="56">
        <v>62</v>
      </c>
      <c r="B63" s="107"/>
      <c r="C63" s="33" t="s">
        <v>18</v>
      </c>
      <c r="D63" s="42" t="s">
        <v>60</v>
      </c>
      <c r="E63" s="33">
        <v>1</v>
      </c>
      <c r="F63" s="58" t="s">
        <v>77</v>
      </c>
      <c r="G63" s="33">
        <v>4</v>
      </c>
      <c r="H63" s="33">
        <v>2</v>
      </c>
      <c r="I63" s="33">
        <v>4</v>
      </c>
      <c r="J63" s="59">
        <v>5</v>
      </c>
      <c r="K63" s="49"/>
      <c r="L63" s="49"/>
      <c r="M63" s="49"/>
      <c r="N63" s="49"/>
    </row>
    <row r="64" ht="16.95" spans="1:14">
      <c r="A64" s="56">
        <v>63</v>
      </c>
      <c r="B64" s="107"/>
      <c r="C64" s="33" t="s">
        <v>19</v>
      </c>
      <c r="D64" s="42" t="s">
        <v>60</v>
      </c>
      <c r="E64" s="33">
        <v>1</v>
      </c>
      <c r="F64" s="58" t="s">
        <v>78</v>
      </c>
      <c r="G64" s="33">
        <v>5</v>
      </c>
      <c r="H64" s="33">
        <v>-1</v>
      </c>
      <c r="I64" s="33">
        <v>3</v>
      </c>
      <c r="J64" s="59">
        <v>3</v>
      </c>
      <c r="K64" s="49"/>
      <c r="L64" s="49"/>
      <c r="M64" s="49"/>
      <c r="N64" s="49"/>
    </row>
    <row r="65" ht="31.95" spans="1:14">
      <c r="A65" s="56">
        <v>64</v>
      </c>
      <c r="B65" s="107"/>
      <c r="C65" s="33" t="s">
        <v>20</v>
      </c>
      <c r="D65" s="42" t="s">
        <v>60</v>
      </c>
      <c r="E65" s="33">
        <v>1</v>
      </c>
      <c r="F65" s="58" t="s">
        <v>76</v>
      </c>
      <c r="G65" s="33">
        <v>2</v>
      </c>
      <c r="H65" s="33">
        <v>1</v>
      </c>
      <c r="I65" s="33">
        <v>3</v>
      </c>
      <c r="J65" s="59">
        <v>3</v>
      </c>
      <c r="K65" s="49"/>
      <c r="L65" s="49"/>
      <c r="M65" s="49"/>
      <c r="N65" s="49"/>
    </row>
    <row r="66" ht="31.95" spans="1:14">
      <c r="A66" s="56">
        <v>65</v>
      </c>
      <c r="B66" s="107"/>
      <c r="C66" s="33" t="s">
        <v>21</v>
      </c>
      <c r="D66" s="42" t="s">
        <v>60</v>
      </c>
      <c r="E66" s="33">
        <v>1</v>
      </c>
      <c r="F66" s="58" t="s">
        <v>76</v>
      </c>
      <c r="G66" s="33">
        <v>3</v>
      </c>
      <c r="H66" s="33">
        <v>2</v>
      </c>
      <c r="I66" s="33">
        <v>3</v>
      </c>
      <c r="J66" s="59">
        <v>4</v>
      </c>
      <c r="K66" s="49"/>
      <c r="L66" s="49"/>
      <c r="M66" s="49"/>
      <c r="N66" s="49"/>
    </row>
    <row r="67" ht="31.95" spans="1:14">
      <c r="A67" s="82">
        <v>66</v>
      </c>
      <c r="B67" s="107"/>
      <c r="C67" s="45" t="s">
        <v>22</v>
      </c>
      <c r="D67" s="106" t="s">
        <v>60</v>
      </c>
      <c r="E67" s="45">
        <v>1</v>
      </c>
      <c r="F67" s="47" t="s">
        <v>76</v>
      </c>
      <c r="G67" s="61">
        <v>1</v>
      </c>
      <c r="H67" s="61">
        <v>3</v>
      </c>
      <c r="I67" s="61">
        <v>3</v>
      </c>
      <c r="J67" s="64">
        <v>4</v>
      </c>
      <c r="K67" s="49">
        <f>SUM(G62:G67)</f>
        <v>17</v>
      </c>
      <c r="L67" s="49">
        <f>SUM(H62:H67)</f>
        <v>8</v>
      </c>
      <c r="M67" s="49">
        <f>SUM(I62:I67)</f>
        <v>19</v>
      </c>
      <c r="N67" s="49">
        <f>SUM(J62:J67)</f>
        <v>22</v>
      </c>
    </row>
    <row r="68" ht="31.95" spans="1:14">
      <c r="A68" s="50">
        <v>67</v>
      </c>
      <c r="B68" s="107" t="s">
        <v>79</v>
      </c>
      <c r="C68" s="52" t="s">
        <v>15</v>
      </c>
      <c r="D68" s="108" t="s">
        <v>60</v>
      </c>
      <c r="E68" s="52">
        <v>1</v>
      </c>
      <c r="F68" s="54" t="s">
        <v>80</v>
      </c>
      <c r="G68" s="77">
        <v>2</v>
      </c>
      <c r="H68" s="77">
        <v>0</v>
      </c>
      <c r="I68" s="77">
        <v>2</v>
      </c>
      <c r="J68" s="80">
        <v>2</v>
      </c>
      <c r="K68" s="49"/>
      <c r="L68" s="49"/>
      <c r="M68" s="49"/>
      <c r="N68" s="49"/>
    </row>
    <row r="69" ht="31.95" spans="1:14">
      <c r="A69" s="56">
        <v>68</v>
      </c>
      <c r="B69" s="107"/>
      <c r="C69" s="33" t="s">
        <v>18</v>
      </c>
      <c r="D69" s="42" t="s">
        <v>60</v>
      </c>
      <c r="E69" s="33">
        <v>1</v>
      </c>
      <c r="F69" s="58" t="s">
        <v>81</v>
      </c>
      <c r="G69" s="33">
        <v>2</v>
      </c>
      <c r="H69" s="33">
        <v>3</v>
      </c>
      <c r="I69" s="33">
        <v>4</v>
      </c>
      <c r="J69" s="59">
        <v>5</v>
      </c>
      <c r="K69" s="49"/>
      <c r="L69" s="49"/>
      <c r="M69" s="49"/>
      <c r="N69" s="49"/>
    </row>
    <row r="70" ht="47.55" spans="1:14">
      <c r="A70" s="56">
        <v>69</v>
      </c>
      <c r="B70" s="107"/>
      <c r="C70" s="33" t="s">
        <v>19</v>
      </c>
      <c r="D70" s="42" t="s">
        <v>60</v>
      </c>
      <c r="E70" s="33">
        <v>1</v>
      </c>
      <c r="F70" s="58" t="s">
        <v>82</v>
      </c>
      <c r="G70" s="33">
        <v>3</v>
      </c>
      <c r="H70" s="33">
        <v>1</v>
      </c>
      <c r="I70" s="33">
        <v>3</v>
      </c>
      <c r="J70" s="59">
        <v>3</v>
      </c>
      <c r="K70" s="49"/>
      <c r="L70" s="49"/>
      <c r="M70" s="49"/>
      <c r="N70" s="49"/>
    </row>
    <row r="71" ht="31.95" spans="1:14">
      <c r="A71" s="56">
        <v>70</v>
      </c>
      <c r="B71" s="107"/>
      <c r="C71" s="33" t="s">
        <v>20</v>
      </c>
      <c r="D71" s="42" t="s">
        <v>60</v>
      </c>
      <c r="E71" s="33">
        <v>1</v>
      </c>
      <c r="F71" s="58" t="s">
        <v>83</v>
      </c>
      <c r="G71" s="33">
        <v>2</v>
      </c>
      <c r="H71" s="33">
        <v>2</v>
      </c>
      <c r="I71" s="33">
        <v>3</v>
      </c>
      <c r="J71" s="59">
        <v>4</v>
      </c>
      <c r="K71" s="49"/>
      <c r="L71" s="49"/>
      <c r="M71" s="49"/>
      <c r="N71" s="49"/>
    </row>
    <row r="72" ht="16.95" spans="1:14">
      <c r="A72" s="56">
        <v>71</v>
      </c>
      <c r="B72" s="107"/>
      <c r="C72" s="33" t="s">
        <v>21</v>
      </c>
      <c r="D72" s="42" t="s">
        <v>60</v>
      </c>
      <c r="E72" s="33">
        <v>1</v>
      </c>
      <c r="F72" s="58" t="s">
        <v>84</v>
      </c>
      <c r="G72" s="33">
        <v>1</v>
      </c>
      <c r="H72" s="33">
        <v>4</v>
      </c>
      <c r="I72" s="33">
        <v>3</v>
      </c>
      <c r="J72" s="59">
        <v>4</v>
      </c>
      <c r="K72" s="49"/>
      <c r="L72" s="49"/>
      <c r="M72" s="49"/>
      <c r="N72" s="49"/>
    </row>
    <row r="73" ht="16.95" spans="1:14">
      <c r="A73" s="82">
        <v>72</v>
      </c>
      <c r="B73" s="107"/>
      <c r="C73" s="45" t="s">
        <v>22</v>
      </c>
      <c r="D73" s="106" t="s">
        <v>60</v>
      </c>
      <c r="E73" s="45">
        <v>1</v>
      </c>
      <c r="F73" s="47" t="s">
        <v>85</v>
      </c>
      <c r="G73" s="45">
        <v>1</v>
      </c>
      <c r="H73" s="45">
        <v>4</v>
      </c>
      <c r="I73" s="45">
        <v>4</v>
      </c>
      <c r="J73" s="84">
        <v>4</v>
      </c>
      <c r="K73" s="49">
        <f>SUM(G68:G73)</f>
        <v>11</v>
      </c>
      <c r="L73" s="49">
        <f>SUM(H68:H73)</f>
        <v>14</v>
      </c>
      <c r="M73" s="49">
        <f>SUM(I68:I73)</f>
        <v>19</v>
      </c>
      <c r="N73" s="49">
        <f>SUM(J68:J73)</f>
        <v>22</v>
      </c>
    </row>
    <row r="74" ht="31.95" spans="1:14">
      <c r="A74" s="50">
        <v>73</v>
      </c>
      <c r="B74" s="107" t="s">
        <v>86</v>
      </c>
      <c r="C74" s="52" t="s">
        <v>15</v>
      </c>
      <c r="D74" s="108" t="s">
        <v>60</v>
      </c>
      <c r="E74" s="52">
        <v>1</v>
      </c>
      <c r="F74" s="54" t="s">
        <v>87</v>
      </c>
      <c r="G74" s="52">
        <v>4</v>
      </c>
      <c r="H74" s="52">
        <v>0</v>
      </c>
      <c r="I74" s="52">
        <v>4</v>
      </c>
      <c r="J74" s="55">
        <v>5</v>
      </c>
      <c r="K74" s="49"/>
      <c r="L74" s="49"/>
      <c r="M74" s="49"/>
      <c r="N74" s="49"/>
    </row>
    <row r="75" ht="16.95" spans="1:14">
      <c r="A75" s="56">
        <v>74</v>
      </c>
      <c r="B75" s="107"/>
      <c r="C75" s="33" t="s">
        <v>18</v>
      </c>
      <c r="D75" s="42" t="s">
        <v>60</v>
      </c>
      <c r="E75" s="33">
        <v>1</v>
      </c>
      <c r="F75" s="58" t="s">
        <v>88</v>
      </c>
      <c r="G75" s="33">
        <v>4</v>
      </c>
      <c r="H75" s="33">
        <v>1</v>
      </c>
      <c r="I75" s="33">
        <v>3</v>
      </c>
      <c r="J75" s="59">
        <v>3</v>
      </c>
      <c r="K75" s="49"/>
      <c r="L75" s="49"/>
      <c r="M75" s="49"/>
      <c r="N75" s="49"/>
    </row>
    <row r="76" ht="31.95" spans="1:14">
      <c r="A76" s="56">
        <v>75</v>
      </c>
      <c r="B76" s="107"/>
      <c r="C76" s="33" t="s">
        <v>19</v>
      </c>
      <c r="D76" s="42" t="s">
        <v>60</v>
      </c>
      <c r="E76" s="33">
        <v>1</v>
      </c>
      <c r="F76" s="58" t="s">
        <v>89</v>
      </c>
      <c r="G76" s="33">
        <v>2</v>
      </c>
      <c r="H76" s="33">
        <v>1</v>
      </c>
      <c r="I76" s="33">
        <v>3</v>
      </c>
      <c r="J76" s="59">
        <v>3</v>
      </c>
      <c r="K76" s="49"/>
      <c r="L76" s="49"/>
      <c r="M76" s="49"/>
      <c r="N76" s="49"/>
    </row>
    <row r="77" ht="31.95" spans="1:14">
      <c r="A77" s="56">
        <v>76</v>
      </c>
      <c r="B77" s="107"/>
      <c r="C77" s="33" t="s">
        <v>20</v>
      </c>
      <c r="D77" s="42" t="s">
        <v>60</v>
      </c>
      <c r="E77" s="33">
        <v>1</v>
      </c>
      <c r="F77" s="58" t="s">
        <v>90</v>
      </c>
      <c r="G77" s="33">
        <v>2</v>
      </c>
      <c r="H77" s="33">
        <v>1</v>
      </c>
      <c r="I77" s="33">
        <v>3</v>
      </c>
      <c r="J77" s="59">
        <v>3</v>
      </c>
      <c r="K77" s="49"/>
      <c r="L77" s="49"/>
      <c r="M77" s="49"/>
      <c r="N77" s="49"/>
    </row>
    <row r="78" ht="31.95" spans="1:14">
      <c r="A78" s="56">
        <v>77</v>
      </c>
      <c r="B78" s="107"/>
      <c r="C78" s="33" t="s">
        <v>21</v>
      </c>
      <c r="D78" s="42" t="s">
        <v>60</v>
      </c>
      <c r="E78" s="33">
        <v>1</v>
      </c>
      <c r="F78" s="58" t="s">
        <v>91</v>
      </c>
      <c r="G78" s="33">
        <v>2</v>
      </c>
      <c r="H78" s="33">
        <v>3</v>
      </c>
      <c r="I78" s="33">
        <v>3</v>
      </c>
      <c r="J78" s="59">
        <v>4</v>
      </c>
      <c r="K78" s="49"/>
      <c r="L78" s="49"/>
      <c r="M78" s="49"/>
      <c r="N78" s="49"/>
    </row>
    <row r="79" ht="47.55" spans="1:14">
      <c r="A79" s="82">
        <v>78</v>
      </c>
      <c r="B79" s="107"/>
      <c r="C79" s="45" t="s">
        <v>22</v>
      </c>
      <c r="D79" s="106" t="s">
        <v>60</v>
      </c>
      <c r="E79" s="45">
        <v>1</v>
      </c>
      <c r="F79" s="47" t="s">
        <v>92</v>
      </c>
      <c r="G79" s="45">
        <v>2</v>
      </c>
      <c r="H79" s="45">
        <v>3</v>
      </c>
      <c r="I79" s="45">
        <v>3</v>
      </c>
      <c r="J79" s="84">
        <v>4</v>
      </c>
      <c r="K79" s="49">
        <f>SUM(G74:G79)</f>
        <v>16</v>
      </c>
      <c r="L79" s="49">
        <f>SUM(H74:H79)</f>
        <v>9</v>
      </c>
      <c r="M79" s="49">
        <f>SUM(I74:I79)</f>
        <v>19</v>
      </c>
      <c r="N79" s="49">
        <f>SUM(J74:J79)</f>
        <v>22</v>
      </c>
    </row>
    <row r="80" ht="62.4" spans="1:14">
      <c r="A80" s="86">
        <v>79</v>
      </c>
      <c r="B80" s="87" t="s">
        <v>93</v>
      </c>
      <c r="C80" s="88" t="s">
        <v>15</v>
      </c>
      <c r="D80" s="87" t="s">
        <v>60</v>
      </c>
      <c r="E80" s="88">
        <v>1</v>
      </c>
      <c r="F80" s="89" t="s">
        <v>94</v>
      </c>
      <c r="G80" s="88">
        <v>1</v>
      </c>
      <c r="H80" s="88">
        <v>1</v>
      </c>
      <c r="I80" s="88">
        <v>3</v>
      </c>
      <c r="J80" s="90">
        <v>3</v>
      </c>
      <c r="K80" s="49"/>
      <c r="L80" s="49"/>
      <c r="M80" s="49"/>
      <c r="N80" s="49"/>
    </row>
    <row r="81" ht="31.2" spans="1:15">
      <c r="A81" s="91">
        <v>80</v>
      </c>
      <c r="B81" s="92"/>
      <c r="C81" s="93" t="s">
        <v>18</v>
      </c>
      <c r="D81" s="92" t="s">
        <v>60</v>
      </c>
      <c r="E81" s="93">
        <v>1</v>
      </c>
      <c r="F81" s="94" t="s">
        <v>95</v>
      </c>
      <c r="G81" s="93">
        <v>3</v>
      </c>
      <c r="H81" s="93">
        <v>0</v>
      </c>
      <c r="I81" s="93">
        <v>3</v>
      </c>
      <c r="J81" s="95">
        <v>3</v>
      </c>
      <c r="K81" s="49"/>
      <c r="L81" s="49"/>
      <c r="M81" s="49"/>
      <c r="N81" s="49"/>
    </row>
    <row r="82" ht="62.4" spans="1:15">
      <c r="A82" s="91">
        <v>81</v>
      </c>
      <c r="B82" s="92"/>
      <c r="C82" s="93" t="s">
        <v>19</v>
      </c>
      <c r="D82" s="92" t="s">
        <v>60</v>
      </c>
      <c r="E82" s="93">
        <v>1</v>
      </c>
      <c r="F82" s="94" t="s">
        <v>96</v>
      </c>
      <c r="G82" s="93">
        <v>2</v>
      </c>
      <c r="H82" s="93">
        <v>3</v>
      </c>
      <c r="I82" s="93">
        <v>4</v>
      </c>
      <c r="J82" s="95">
        <v>4</v>
      </c>
      <c r="K82" s="49"/>
      <c r="L82" s="49"/>
      <c r="M82" s="49"/>
      <c r="N82" s="49"/>
    </row>
    <row r="83" ht="62.4" spans="1:15">
      <c r="A83" s="91">
        <v>82</v>
      </c>
      <c r="B83" s="92"/>
      <c r="C83" s="93" t="s">
        <v>20</v>
      </c>
      <c r="D83" s="92" t="s">
        <v>60</v>
      </c>
      <c r="E83" s="93">
        <v>1</v>
      </c>
      <c r="F83" s="94" t="s">
        <v>96</v>
      </c>
      <c r="G83" s="93">
        <v>2</v>
      </c>
      <c r="H83" s="93">
        <v>3</v>
      </c>
      <c r="I83" s="93">
        <v>4</v>
      </c>
      <c r="J83" s="95">
        <v>4</v>
      </c>
      <c r="K83" s="49"/>
      <c r="L83" s="49"/>
      <c r="M83" s="49"/>
      <c r="N83" s="49"/>
    </row>
    <row r="84" ht="46.8" spans="1:15">
      <c r="A84" s="91">
        <v>83</v>
      </c>
      <c r="B84" s="92"/>
      <c r="C84" s="93" t="s">
        <v>21</v>
      </c>
      <c r="D84" s="92" t="s">
        <v>60</v>
      </c>
      <c r="E84" s="93">
        <v>1</v>
      </c>
      <c r="F84" s="94" t="s">
        <v>97</v>
      </c>
      <c r="G84" s="93">
        <v>2</v>
      </c>
      <c r="H84" s="93">
        <v>3</v>
      </c>
      <c r="I84" s="93">
        <v>3</v>
      </c>
      <c r="J84" s="95">
        <v>4</v>
      </c>
      <c r="K84" s="49"/>
      <c r="L84" s="49"/>
      <c r="M84" s="49"/>
      <c r="N84" s="49"/>
    </row>
    <row r="85" ht="47.55" spans="1:15">
      <c r="A85" s="109">
        <v>84</v>
      </c>
      <c r="B85" s="110"/>
      <c r="C85" s="111" t="s">
        <v>22</v>
      </c>
      <c r="D85" s="110" t="s">
        <v>60</v>
      </c>
      <c r="E85" s="111">
        <v>1</v>
      </c>
      <c r="F85" s="112" t="s">
        <v>27</v>
      </c>
      <c r="G85" s="111">
        <v>2</v>
      </c>
      <c r="H85" s="111">
        <v>3</v>
      </c>
      <c r="I85" s="111">
        <v>2</v>
      </c>
      <c r="J85" s="113">
        <v>4</v>
      </c>
      <c r="K85" s="49">
        <f>SUM(G80:G85)</f>
        <v>12</v>
      </c>
      <c r="L85" s="49">
        <f>SUM(H80:H85)</f>
        <v>13</v>
      </c>
      <c r="M85" s="49">
        <f>SUM(I80:I85)</f>
        <v>19</v>
      </c>
      <c r="N85" s="49">
        <f>SUM(J80:J85)</f>
        <v>22</v>
      </c>
    </row>
    <row r="86" ht="46.8" spans="1:15">
      <c r="A86" s="91">
        <v>85</v>
      </c>
      <c r="B86" s="114" t="s">
        <v>98</v>
      </c>
      <c r="C86" s="115" t="s">
        <v>15</v>
      </c>
      <c r="D86" s="116" t="s">
        <v>99</v>
      </c>
      <c r="E86" s="115">
        <v>1</v>
      </c>
      <c r="F86" s="117" t="s">
        <v>100</v>
      </c>
      <c r="G86" s="115">
        <v>3</v>
      </c>
      <c r="H86" s="115">
        <v>1</v>
      </c>
      <c r="I86" s="88">
        <v>4</v>
      </c>
      <c r="J86" s="90">
        <v>4</v>
      </c>
      <c r="K86" s="49"/>
      <c r="L86" s="49"/>
      <c r="M86" s="49"/>
      <c r="N86" s="49"/>
      <c r="O86">
        <f>ROUNDUP(J86/2,0)+J86</f>
        <v>6</v>
      </c>
    </row>
    <row r="87" ht="46.8" spans="1:15">
      <c r="A87" s="109">
        <v>86</v>
      </c>
      <c r="B87" s="118"/>
      <c r="C87" s="93" t="s">
        <v>18</v>
      </c>
      <c r="D87" s="118" t="s">
        <v>99</v>
      </c>
      <c r="E87" s="93">
        <v>1</v>
      </c>
      <c r="F87" s="94" t="s">
        <v>101</v>
      </c>
      <c r="G87" s="93">
        <v>3</v>
      </c>
      <c r="H87" s="93">
        <v>3</v>
      </c>
      <c r="I87" s="93">
        <v>6</v>
      </c>
      <c r="J87" s="95">
        <v>6</v>
      </c>
      <c r="K87" s="49"/>
      <c r="L87" s="49"/>
      <c r="M87" s="49"/>
      <c r="N87" s="49"/>
      <c r="O87">
        <f>ROUNDUP(J87/2,0)+J87</f>
        <v>9</v>
      </c>
    </row>
    <row r="88" ht="62.4" spans="1:15">
      <c r="A88" s="91">
        <v>87</v>
      </c>
      <c r="B88" s="118"/>
      <c r="C88" s="93" t="s">
        <v>19</v>
      </c>
      <c r="D88" s="118" t="s">
        <v>99</v>
      </c>
      <c r="E88" s="93">
        <v>1</v>
      </c>
      <c r="F88" s="94" t="s">
        <v>102</v>
      </c>
      <c r="G88" s="93">
        <v>4</v>
      </c>
      <c r="H88" s="93">
        <v>1</v>
      </c>
      <c r="I88" s="93">
        <v>5</v>
      </c>
      <c r="J88" s="95">
        <v>5</v>
      </c>
      <c r="K88" s="49"/>
      <c r="L88" s="49"/>
      <c r="M88" s="49"/>
      <c r="N88" s="49"/>
      <c r="O88">
        <f>ROUNDUP(J88/2,0)+J88</f>
        <v>8</v>
      </c>
    </row>
    <row r="89" ht="62.4" spans="1:15">
      <c r="A89" s="109">
        <v>88</v>
      </c>
      <c r="B89" s="118"/>
      <c r="C89" s="93" t="s">
        <v>20</v>
      </c>
      <c r="D89" s="118" t="s">
        <v>99</v>
      </c>
      <c r="E89" s="93">
        <v>1</v>
      </c>
      <c r="F89" s="94" t="s">
        <v>102</v>
      </c>
      <c r="G89" s="93">
        <v>4</v>
      </c>
      <c r="H89" s="93">
        <v>1</v>
      </c>
      <c r="I89" s="93">
        <v>5</v>
      </c>
      <c r="J89" s="95">
        <v>5</v>
      </c>
      <c r="K89" s="49"/>
      <c r="L89" s="49"/>
      <c r="M89" s="49"/>
      <c r="N89" s="49"/>
      <c r="O89">
        <f t="shared" ref="O89:O127" si="0">ROUNDUP(J89/2,0)+J89</f>
        <v>8</v>
      </c>
    </row>
    <row r="90" ht="46.8" spans="1:15">
      <c r="A90" s="91">
        <v>89</v>
      </c>
      <c r="B90" s="118"/>
      <c r="C90" s="93" t="s">
        <v>21</v>
      </c>
      <c r="D90" s="118" t="s">
        <v>99</v>
      </c>
      <c r="E90" s="93">
        <v>1</v>
      </c>
      <c r="F90" s="94" t="s">
        <v>100</v>
      </c>
      <c r="G90" s="93">
        <v>2</v>
      </c>
      <c r="H90" s="93">
        <v>3</v>
      </c>
      <c r="I90" s="93">
        <v>4</v>
      </c>
      <c r="J90" s="95">
        <v>5</v>
      </c>
      <c r="K90" s="49"/>
      <c r="L90" s="49"/>
      <c r="M90" s="49"/>
      <c r="N90" s="49"/>
      <c r="O90">
        <f t="shared" si="0"/>
        <v>8</v>
      </c>
    </row>
    <row r="91" ht="47.55" spans="1:15">
      <c r="A91" s="109">
        <v>90</v>
      </c>
      <c r="B91" s="119"/>
      <c r="C91" s="120" t="s">
        <v>22</v>
      </c>
      <c r="D91" s="121" t="s">
        <v>99</v>
      </c>
      <c r="E91" s="120">
        <v>1</v>
      </c>
      <c r="F91" s="122" t="s">
        <v>100</v>
      </c>
      <c r="G91" s="120">
        <v>2</v>
      </c>
      <c r="H91" s="120">
        <v>3</v>
      </c>
      <c r="I91" s="98">
        <v>4</v>
      </c>
      <c r="J91" s="100">
        <v>5</v>
      </c>
      <c r="K91" s="49">
        <f>SUM(G86:G91)</f>
        <v>18</v>
      </c>
      <c r="L91" s="49">
        <f>SUM(H86:H91)</f>
        <v>12</v>
      </c>
      <c r="M91" s="49">
        <f>SUM(I86:I91)</f>
        <v>28</v>
      </c>
      <c r="N91" s="49">
        <f>SUM(J86:J91)</f>
        <v>30</v>
      </c>
      <c r="O91">
        <f t="shared" si="0"/>
        <v>8</v>
      </c>
    </row>
    <row r="92" ht="31.95" spans="1:15">
      <c r="A92" s="91">
        <v>91</v>
      </c>
      <c r="B92" s="123" t="s">
        <v>103</v>
      </c>
      <c r="C92" s="77" t="s">
        <v>15</v>
      </c>
      <c r="D92" s="124" t="s">
        <v>99</v>
      </c>
      <c r="E92" s="77">
        <v>1</v>
      </c>
      <c r="F92" s="79" t="s">
        <v>104</v>
      </c>
      <c r="G92" s="77">
        <v>2</v>
      </c>
      <c r="H92" s="77">
        <v>1</v>
      </c>
      <c r="I92" s="77">
        <v>4</v>
      </c>
      <c r="J92" s="80">
        <v>4</v>
      </c>
      <c r="K92" s="49"/>
      <c r="L92" s="49"/>
      <c r="M92" s="49"/>
      <c r="N92" s="49"/>
      <c r="O92">
        <f t="shared" si="0"/>
        <v>6</v>
      </c>
    </row>
    <row r="93" ht="47.55" spans="1:15">
      <c r="A93" s="109">
        <v>92</v>
      </c>
      <c r="B93" s="125"/>
      <c r="C93" s="33" t="s">
        <v>18</v>
      </c>
      <c r="D93" s="14" t="s">
        <v>99</v>
      </c>
      <c r="E93" s="33">
        <v>1</v>
      </c>
      <c r="F93" s="58" t="s">
        <v>105</v>
      </c>
      <c r="G93" s="33">
        <v>5</v>
      </c>
      <c r="H93" s="33">
        <v>2</v>
      </c>
      <c r="I93" s="33">
        <v>5</v>
      </c>
      <c r="J93" s="59">
        <v>6</v>
      </c>
      <c r="K93" s="49"/>
      <c r="L93" s="49"/>
      <c r="M93" s="49"/>
      <c r="N93" s="49"/>
      <c r="O93">
        <f t="shared" si="0"/>
        <v>9</v>
      </c>
    </row>
    <row r="94" ht="31.95" spans="1:15">
      <c r="A94" s="91">
        <v>93</v>
      </c>
      <c r="B94" s="125"/>
      <c r="C94" s="33" t="s">
        <v>19</v>
      </c>
      <c r="D94" s="14" t="s">
        <v>99</v>
      </c>
      <c r="E94" s="33">
        <v>1</v>
      </c>
      <c r="F94" s="58" t="s">
        <v>106</v>
      </c>
      <c r="G94" s="33">
        <v>4</v>
      </c>
      <c r="H94" s="33">
        <v>1</v>
      </c>
      <c r="I94" s="33">
        <v>4</v>
      </c>
      <c r="J94" s="59">
        <v>4</v>
      </c>
      <c r="K94" s="49"/>
      <c r="L94" s="49"/>
      <c r="M94" s="49"/>
      <c r="N94" s="49"/>
      <c r="O94">
        <f t="shared" si="0"/>
        <v>6</v>
      </c>
    </row>
    <row r="95" ht="31.95" spans="1:15">
      <c r="A95" s="109">
        <v>94</v>
      </c>
      <c r="B95" s="125"/>
      <c r="C95" s="33" t="s">
        <v>20</v>
      </c>
      <c r="D95" s="14" t="s">
        <v>99</v>
      </c>
      <c r="E95" s="33">
        <v>1</v>
      </c>
      <c r="F95" s="58" t="s">
        <v>106</v>
      </c>
      <c r="G95" s="33">
        <v>4</v>
      </c>
      <c r="H95" s="33">
        <v>1</v>
      </c>
      <c r="I95" s="33">
        <v>4</v>
      </c>
      <c r="J95" s="59">
        <v>4</v>
      </c>
      <c r="K95" s="49"/>
      <c r="L95" s="49"/>
      <c r="M95" s="49"/>
      <c r="N95" s="49"/>
      <c r="O95">
        <f t="shared" si="0"/>
        <v>6</v>
      </c>
    </row>
    <row r="96" ht="47.55" spans="1:15">
      <c r="A96" s="91">
        <v>95</v>
      </c>
      <c r="B96" s="125"/>
      <c r="C96" s="33" t="s">
        <v>21</v>
      </c>
      <c r="D96" s="14" t="s">
        <v>99</v>
      </c>
      <c r="E96" s="33">
        <v>1</v>
      </c>
      <c r="F96" s="58" t="s">
        <v>107</v>
      </c>
      <c r="G96" s="33">
        <v>2</v>
      </c>
      <c r="H96" s="33">
        <v>3</v>
      </c>
      <c r="I96" s="33">
        <v>4</v>
      </c>
      <c r="J96" s="59">
        <v>5</v>
      </c>
      <c r="K96" s="49"/>
      <c r="L96" s="49"/>
      <c r="M96" s="49"/>
      <c r="N96" s="49"/>
      <c r="O96">
        <f t="shared" si="0"/>
        <v>8</v>
      </c>
    </row>
    <row r="97" ht="47.55" spans="1:15">
      <c r="A97" s="109">
        <v>96</v>
      </c>
      <c r="B97" s="125"/>
      <c r="C97" s="45" t="s">
        <v>22</v>
      </c>
      <c r="D97" s="126" t="s">
        <v>99</v>
      </c>
      <c r="E97" s="33">
        <v>1</v>
      </c>
      <c r="F97" s="47" t="s">
        <v>68</v>
      </c>
      <c r="G97" s="61">
        <v>2</v>
      </c>
      <c r="H97" s="61">
        <v>3</v>
      </c>
      <c r="I97" s="61">
        <v>4</v>
      </c>
      <c r="J97" s="64">
        <v>5</v>
      </c>
      <c r="K97" s="49">
        <f>SUM(G92:G97)</f>
        <v>19</v>
      </c>
      <c r="L97" s="49">
        <f>SUM(H92:H97)</f>
        <v>11</v>
      </c>
      <c r="M97" s="49">
        <f>SUM(I92:I97)</f>
        <v>25</v>
      </c>
      <c r="N97" s="49">
        <f>SUM(J92:J97)</f>
        <v>28</v>
      </c>
      <c r="O97">
        <f t="shared" si="0"/>
        <v>8</v>
      </c>
    </row>
    <row r="98" ht="31.95" spans="1:15">
      <c r="A98" s="91">
        <v>97</v>
      </c>
      <c r="B98" s="125" t="s">
        <v>108</v>
      </c>
      <c r="C98" s="52" t="s">
        <v>15</v>
      </c>
      <c r="D98" s="127" t="s">
        <v>99</v>
      </c>
      <c r="E98" s="52">
        <v>1</v>
      </c>
      <c r="F98" s="54" t="s">
        <v>109</v>
      </c>
      <c r="G98" s="77">
        <v>2</v>
      </c>
      <c r="H98" s="77">
        <v>2</v>
      </c>
      <c r="I98" s="77">
        <v>4</v>
      </c>
      <c r="J98" s="80">
        <v>4</v>
      </c>
      <c r="K98" s="49"/>
      <c r="L98" s="49"/>
      <c r="M98" s="49"/>
      <c r="N98" s="49"/>
      <c r="O98">
        <f t="shared" si="0"/>
        <v>6</v>
      </c>
    </row>
    <row r="99" ht="63.15" spans="1:15">
      <c r="A99" s="109">
        <v>98</v>
      </c>
      <c r="B99" s="125"/>
      <c r="C99" s="33" t="s">
        <v>18</v>
      </c>
      <c r="D99" s="14" t="s">
        <v>99</v>
      </c>
      <c r="E99" s="33">
        <v>1</v>
      </c>
      <c r="F99" s="58" t="s">
        <v>110</v>
      </c>
      <c r="G99" s="33">
        <v>4</v>
      </c>
      <c r="H99" s="33">
        <v>2</v>
      </c>
      <c r="I99" s="33">
        <v>5</v>
      </c>
      <c r="J99" s="59">
        <v>6</v>
      </c>
      <c r="K99" s="49"/>
      <c r="L99" s="49"/>
      <c r="M99" s="49"/>
      <c r="N99" s="49"/>
      <c r="O99">
        <f t="shared" si="0"/>
        <v>9</v>
      </c>
    </row>
    <row r="100" ht="31.95" spans="1:15">
      <c r="A100" s="91">
        <v>99</v>
      </c>
      <c r="B100" s="125"/>
      <c r="C100" s="33" t="s">
        <v>19</v>
      </c>
      <c r="D100" s="14" t="s">
        <v>99</v>
      </c>
      <c r="E100" s="33">
        <v>1</v>
      </c>
      <c r="F100" s="58" t="s">
        <v>111</v>
      </c>
      <c r="G100" s="33">
        <v>2</v>
      </c>
      <c r="H100" s="33">
        <v>2</v>
      </c>
      <c r="I100" s="33">
        <v>4</v>
      </c>
      <c r="J100" s="59">
        <v>4</v>
      </c>
      <c r="K100" s="49"/>
      <c r="L100" s="49"/>
      <c r="M100" s="49"/>
      <c r="N100" s="49"/>
      <c r="O100">
        <f t="shared" si="0"/>
        <v>6</v>
      </c>
    </row>
    <row r="101" ht="31.95" spans="1:15">
      <c r="A101" s="109">
        <v>100</v>
      </c>
      <c r="B101" s="125"/>
      <c r="C101" s="33" t="s">
        <v>20</v>
      </c>
      <c r="D101" s="14" t="s">
        <v>99</v>
      </c>
      <c r="E101" s="33">
        <v>1</v>
      </c>
      <c r="F101" s="58" t="s">
        <v>111</v>
      </c>
      <c r="G101" s="33">
        <v>2</v>
      </c>
      <c r="H101" s="33">
        <v>2</v>
      </c>
      <c r="I101" s="33">
        <v>4</v>
      </c>
      <c r="J101" s="59">
        <v>4</v>
      </c>
      <c r="K101" s="49"/>
      <c r="L101" s="49"/>
      <c r="M101" s="49"/>
      <c r="N101" s="49"/>
      <c r="O101">
        <f t="shared" si="0"/>
        <v>6</v>
      </c>
    </row>
    <row r="102" ht="31.95" spans="1:15">
      <c r="A102" s="91">
        <v>101</v>
      </c>
      <c r="B102" s="125"/>
      <c r="C102" s="33" t="s">
        <v>21</v>
      </c>
      <c r="D102" s="14" t="s">
        <v>99</v>
      </c>
      <c r="E102" s="33">
        <v>1</v>
      </c>
      <c r="F102" s="58" t="s">
        <v>73</v>
      </c>
      <c r="G102" s="33">
        <v>3</v>
      </c>
      <c r="H102" s="33">
        <v>3</v>
      </c>
      <c r="I102" s="33">
        <v>4</v>
      </c>
      <c r="J102" s="59">
        <v>5</v>
      </c>
      <c r="K102" s="49"/>
      <c r="L102" s="49"/>
      <c r="M102" s="49"/>
      <c r="N102" s="49"/>
      <c r="O102">
        <f t="shared" si="0"/>
        <v>8</v>
      </c>
    </row>
    <row r="103" ht="31.95" spans="1:15">
      <c r="A103" s="109">
        <v>102</v>
      </c>
      <c r="B103" s="125"/>
      <c r="C103" s="45" t="s">
        <v>22</v>
      </c>
      <c r="D103" s="126" t="s">
        <v>99</v>
      </c>
      <c r="E103" s="45">
        <v>1</v>
      </c>
      <c r="F103" s="47" t="s">
        <v>73</v>
      </c>
      <c r="G103" s="61">
        <v>3</v>
      </c>
      <c r="H103" s="61">
        <v>3</v>
      </c>
      <c r="I103" s="61">
        <v>4</v>
      </c>
      <c r="J103" s="64">
        <v>5</v>
      </c>
      <c r="K103" s="49">
        <f>SUM(G98:G103)</f>
        <v>16</v>
      </c>
      <c r="L103" s="49">
        <f>SUM(H98:H103)</f>
        <v>14</v>
      </c>
      <c r="M103" s="49">
        <f>SUM(I98:I103)</f>
        <v>25</v>
      </c>
      <c r="N103" s="49">
        <f>SUM(J98:J103)</f>
        <v>28</v>
      </c>
      <c r="O103">
        <f t="shared" si="0"/>
        <v>8</v>
      </c>
    </row>
    <row r="104" ht="63.15" spans="1:15">
      <c r="A104" s="91">
        <v>103</v>
      </c>
      <c r="B104" s="128" t="s">
        <v>112</v>
      </c>
      <c r="C104" s="52" t="s">
        <v>15</v>
      </c>
      <c r="D104" s="127" t="s">
        <v>99</v>
      </c>
      <c r="E104" s="52">
        <v>1</v>
      </c>
      <c r="F104" s="54" t="s">
        <v>113</v>
      </c>
      <c r="G104" s="52">
        <v>3</v>
      </c>
      <c r="H104" s="52">
        <v>1</v>
      </c>
      <c r="I104" s="52">
        <v>4</v>
      </c>
      <c r="J104" s="55">
        <v>5</v>
      </c>
      <c r="K104" s="49"/>
      <c r="L104" s="49"/>
      <c r="M104" s="49"/>
      <c r="N104" s="49"/>
      <c r="O104">
        <f t="shared" si="0"/>
        <v>8</v>
      </c>
    </row>
    <row r="105" ht="47.55" spans="1:15">
      <c r="A105" s="109">
        <v>104</v>
      </c>
      <c r="B105" s="128"/>
      <c r="C105" s="33" t="s">
        <v>18</v>
      </c>
      <c r="D105" s="14" t="s">
        <v>99</v>
      </c>
      <c r="E105" s="33">
        <v>1</v>
      </c>
      <c r="F105" s="58" t="s">
        <v>114</v>
      </c>
      <c r="G105" s="33">
        <v>4</v>
      </c>
      <c r="H105" s="33">
        <v>3</v>
      </c>
      <c r="I105" s="33">
        <v>5</v>
      </c>
      <c r="J105" s="59">
        <v>6</v>
      </c>
      <c r="K105" s="49"/>
      <c r="L105" s="49"/>
      <c r="M105" s="49"/>
      <c r="N105" s="49"/>
      <c r="O105">
        <f t="shared" si="0"/>
        <v>9</v>
      </c>
    </row>
    <row r="106" ht="31.95" spans="1:15">
      <c r="A106" s="91">
        <v>105</v>
      </c>
      <c r="B106" s="128"/>
      <c r="C106" s="33" t="s">
        <v>19</v>
      </c>
      <c r="D106" s="14" t="s">
        <v>99</v>
      </c>
      <c r="E106" s="33">
        <v>1</v>
      </c>
      <c r="F106" s="58" t="s">
        <v>115</v>
      </c>
      <c r="G106" s="33">
        <v>6</v>
      </c>
      <c r="H106" s="33">
        <v>-1</v>
      </c>
      <c r="I106" s="33">
        <v>4</v>
      </c>
      <c r="J106" s="59">
        <v>4</v>
      </c>
      <c r="K106" s="49"/>
      <c r="L106" s="49"/>
      <c r="M106" s="49"/>
      <c r="N106" s="49"/>
      <c r="O106">
        <f t="shared" si="0"/>
        <v>6</v>
      </c>
    </row>
    <row r="107" ht="31.95" spans="1:15">
      <c r="A107" s="109">
        <v>106</v>
      </c>
      <c r="B107" s="128"/>
      <c r="C107" s="33" t="s">
        <v>20</v>
      </c>
      <c r="D107" s="14" t="s">
        <v>99</v>
      </c>
      <c r="E107" s="33">
        <v>1</v>
      </c>
      <c r="F107" s="58" t="s">
        <v>90</v>
      </c>
      <c r="G107" s="33">
        <v>3</v>
      </c>
      <c r="H107" s="33">
        <v>1</v>
      </c>
      <c r="I107" s="33">
        <v>4</v>
      </c>
      <c r="J107" s="59">
        <v>4</v>
      </c>
      <c r="K107" s="49"/>
      <c r="L107" s="49"/>
      <c r="M107" s="49"/>
      <c r="N107" s="49"/>
      <c r="O107">
        <f t="shared" si="0"/>
        <v>6</v>
      </c>
    </row>
    <row r="108" ht="63.15" spans="1:15">
      <c r="A108" s="91">
        <v>107</v>
      </c>
      <c r="B108" s="128"/>
      <c r="C108" s="33" t="s">
        <v>21</v>
      </c>
      <c r="D108" s="14" t="s">
        <v>99</v>
      </c>
      <c r="E108" s="33">
        <v>1</v>
      </c>
      <c r="F108" s="58" t="s">
        <v>116</v>
      </c>
      <c r="G108" s="33">
        <v>2</v>
      </c>
      <c r="H108" s="33">
        <v>3</v>
      </c>
      <c r="I108" s="33">
        <v>4</v>
      </c>
      <c r="J108" s="59">
        <v>5</v>
      </c>
      <c r="K108" s="49"/>
      <c r="L108" s="49"/>
      <c r="M108" s="49"/>
      <c r="N108" s="49"/>
      <c r="O108">
        <f t="shared" si="0"/>
        <v>8</v>
      </c>
    </row>
    <row r="109" ht="63.15" spans="1:15">
      <c r="A109" s="109">
        <v>108</v>
      </c>
      <c r="B109" s="128"/>
      <c r="C109" s="45" t="s">
        <v>22</v>
      </c>
      <c r="D109" s="126" t="s">
        <v>99</v>
      </c>
      <c r="E109" s="45">
        <v>1</v>
      </c>
      <c r="F109" s="47" t="s">
        <v>117</v>
      </c>
      <c r="G109" s="45">
        <v>2</v>
      </c>
      <c r="H109" s="45">
        <v>3</v>
      </c>
      <c r="I109" s="45">
        <v>4</v>
      </c>
      <c r="J109" s="84">
        <v>5</v>
      </c>
      <c r="K109" s="49">
        <f>SUM(G104:G109)</f>
        <v>20</v>
      </c>
      <c r="L109" s="49">
        <f>SUM(H104:H109)</f>
        <v>10</v>
      </c>
      <c r="M109" s="49">
        <f>SUM(I104:I109)</f>
        <v>25</v>
      </c>
      <c r="N109" s="49">
        <f>SUM(J104:J109)</f>
        <v>29</v>
      </c>
      <c r="O109">
        <f t="shared" si="0"/>
        <v>8</v>
      </c>
    </row>
    <row r="110" ht="47.55" spans="1:15">
      <c r="A110" s="91">
        <v>109</v>
      </c>
      <c r="B110" s="125" t="s">
        <v>118</v>
      </c>
      <c r="C110" s="52" t="s">
        <v>15</v>
      </c>
      <c r="D110" s="127" t="s">
        <v>99</v>
      </c>
      <c r="E110" s="52">
        <v>1</v>
      </c>
      <c r="F110" s="54" t="s">
        <v>119</v>
      </c>
      <c r="G110" s="52">
        <v>2</v>
      </c>
      <c r="H110" s="52">
        <v>1</v>
      </c>
      <c r="I110" s="52">
        <v>4</v>
      </c>
      <c r="J110" s="55">
        <v>4</v>
      </c>
      <c r="K110" s="49"/>
      <c r="L110" s="49"/>
      <c r="M110" s="49"/>
      <c r="N110" s="49"/>
      <c r="O110">
        <f t="shared" si="0"/>
        <v>6</v>
      </c>
    </row>
    <row r="111" ht="63.15" spans="1:15">
      <c r="A111" s="109">
        <v>110</v>
      </c>
      <c r="B111" s="125"/>
      <c r="C111" s="33" t="s">
        <v>18</v>
      </c>
      <c r="D111" s="14" t="s">
        <v>99</v>
      </c>
      <c r="E111" s="33">
        <v>1</v>
      </c>
      <c r="F111" s="58" t="s">
        <v>120</v>
      </c>
      <c r="G111" s="33">
        <v>2</v>
      </c>
      <c r="H111" s="33">
        <v>1</v>
      </c>
      <c r="I111" s="33">
        <v>5</v>
      </c>
      <c r="J111" s="59">
        <v>5</v>
      </c>
      <c r="K111" s="49"/>
      <c r="L111" s="49"/>
      <c r="M111" s="49"/>
      <c r="N111" s="49"/>
      <c r="O111">
        <f t="shared" si="0"/>
        <v>8</v>
      </c>
    </row>
    <row r="112" ht="63.15" spans="1:15">
      <c r="A112" s="91">
        <v>111</v>
      </c>
      <c r="B112" s="125"/>
      <c r="C112" s="33" t="s">
        <v>19</v>
      </c>
      <c r="D112" s="14" t="s">
        <v>99</v>
      </c>
      <c r="E112" s="33">
        <v>1</v>
      </c>
      <c r="F112" s="58" t="s">
        <v>121</v>
      </c>
      <c r="G112" s="33">
        <v>3</v>
      </c>
      <c r="H112" s="33">
        <v>3</v>
      </c>
      <c r="I112" s="33">
        <v>4</v>
      </c>
      <c r="J112" s="59">
        <v>5</v>
      </c>
      <c r="K112" s="49"/>
      <c r="L112" s="49"/>
      <c r="M112" s="49"/>
      <c r="N112" s="49"/>
      <c r="O112">
        <f t="shared" si="0"/>
        <v>8</v>
      </c>
    </row>
    <row r="113" ht="63.15" spans="1:17">
      <c r="A113" s="109">
        <v>112</v>
      </c>
      <c r="B113" s="125"/>
      <c r="C113" s="33" t="s">
        <v>20</v>
      </c>
      <c r="D113" s="14" t="s">
        <v>99</v>
      </c>
      <c r="E113" s="33">
        <v>1</v>
      </c>
      <c r="F113" s="58" t="s">
        <v>121</v>
      </c>
      <c r="G113" s="33">
        <v>3</v>
      </c>
      <c r="H113" s="33">
        <v>3</v>
      </c>
      <c r="I113" s="33">
        <v>4</v>
      </c>
      <c r="J113" s="59">
        <v>5</v>
      </c>
      <c r="K113" s="49"/>
      <c r="L113" s="49"/>
      <c r="M113" s="49"/>
      <c r="N113" s="49"/>
      <c r="O113">
        <f t="shared" si="0"/>
        <v>8</v>
      </c>
    </row>
    <row r="114" ht="47.55" spans="1:17">
      <c r="A114" s="91">
        <v>113</v>
      </c>
      <c r="B114" s="125"/>
      <c r="C114" s="33" t="s">
        <v>21</v>
      </c>
      <c r="D114" s="14" t="s">
        <v>99</v>
      </c>
      <c r="E114" s="33">
        <v>1</v>
      </c>
      <c r="F114" s="58" t="s">
        <v>122</v>
      </c>
      <c r="G114" s="33">
        <v>2</v>
      </c>
      <c r="H114" s="33">
        <v>4</v>
      </c>
      <c r="I114" s="33">
        <v>4</v>
      </c>
      <c r="J114" s="59">
        <v>5</v>
      </c>
      <c r="K114" s="49"/>
      <c r="L114" s="49"/>
      <c r="M114" s="49"/>
      <c r="N114" s="49"/>
      <c r="O114">
        <f t="shared" si="0"/>
        <v>8</v>
      </c>
    </row>
    <row r="115" ht="63.15" spans="1:17">
      <c r="A115" s="109">
        <v>114</v>
      </c>
      <c r="B115" s="125"/>
      <c r="C115" s="45" t="s">
        <v>22</v>
      </c>
      <c r="D115" s="126" t="s">
        <v>99</v>
      </c>
      <c r="E115" s="45">
        <v>1</v>
      </c>
      <c r="F115" s="47" t="s">
        <v>123</v>
      </c>
      <c r="G115" s="45">
        <v>2</v>
      </c>
      <c r="H115" s="45">
        <v>4</v>
      </c>
      <c r="I115" s="45">
        <v>4</v>
      </c>
      <c r="J115" s="84">
        <v>5</v>
      </c>
      <c r="K115" s="49">
        <f>SUM(G110:G115)</f>
        <v>14</v>
      </c>
      <c r="L115" s="49">
        <f>SUM(H110:H115)</f>
        <v>16</v>
      </c>
      <c r="M115" s="49">
        <f>SUM(I110:I115)</f>
        <v>25</v>
      </c>
      <c r="N115" s="49">
        <f>SUM(J110:J115)</f>
        <v>29</v>
      </c>
      <c r="O115">
        <f t="shared" si="0"/>
        <v>8</v>
      </c>
    </row>
    <row r="116" ht="31.95" spans="1:17">
      <c r="A116" s="91">
        <v>115</v>
      </c>
      <c r="B116" s="129" t="s">
        <v>124</v>
      </c>
      <c r="C116" s="52" t="s">
        <v>15</v>
      </c>
      <c r="D116" s="130" t="s">
        <v>125</v>
      </c>
      <c r="E116" s="52">
        <v>1</v>
      </c>
      <c r="F116" s="54" t="s">
        <v>126</v>
      </c>
      <c r="G116" s="52">
        <v>2</v>
      </c>
      <c r="H116" s="52">
        <v>2</v>
      </c>
      <c r="I116" s="52">
        <v>5</v>
      </c>
      <c r="J116" s="55">
        <v>6</v>
      </c>
      <c r="K116" s="49"/>
      <c r="L116" s="49"/>
      <c r="M116" s="49"/>
      <c r="N116" s="49"/>
      <c r="O116">
        <f t="shared" si="0"/>
        <v>9</v>
      </c>
    </row>
    <row r="117" ht="47.55" spans="1:17">
      <c r="A117" s="109">
        <v>116</v>
      </c>
      <c r="B117" s="129"/>
      <c r="C117" s="33" t="s">
        <v>18</v>
      </c>
      <c r="D117" s="43" t="s">
        <v>125</v>
      </c>
      <c r="E117" s="33">
        <v>1</v>
      </c>
      <c r="F117" s="58" t="s">
        <v>127</v>
      </c>
      <c r="G117" s="33">
        <v>5</v>
      </c>
      <c r="H117" s="33">
        <v>3</v>
      </c>
      <c r="I117" s="33">
        <v>6</v>
      </c>
      <c r="J117" s="59">
        <v>8</v>
      </c>
      <c r="K117" s="49"/>
      <c r="L117" s="49"/>
      <c r="M117" s="49"/>
      <c r="N117" s="49"/>
      <c r="O117">
        <f t="shared" si="0"/>
        <v>12</v>
      </c>
    </row>
    <row r="118" ht="31.95" spans="1:17">
      <c r="A118" s="91">
        <v>117</v>
      </c>
      <c r="B118" s="129"/>
      <c r="C118" s="33" t="s">
        <v>19</v>
      </c>
      <c r="D118" s="43" t="s">
        <v>125</v>
      </c>
      <c r="E118" s="33">
        <v>1</v>
      </c>
      <c r="F118" s="58" t="s">
        <v>128</v>
      </c>
      <c r="G118" s="33">
        <v>5</v>
      </c>
      <c r="H118" s="33">
        <v>1</v>
      </c>
      <c r="I118" s="33">
        <v>5</v>
      </c>
      <c r="J118" s="59">
        <v>6</v>
      </c>
      <c r="K118" s="49"/>
      <c r="L118" s="49"/>
      <c r="M118" s="49"/>
      <c r="N118" s="49"/>
      <c r="O118">
        <f t="shared" si="0"/>
        <v>9</v>
      </c>
    </row>
    <row r="119" ht="47.55" spans="1:17">
      <c r="A119" s="109">
        <v>118</v>
      </c>
      <c r="B119" s="129"/>
      <c r="C119" s="33" t="s">
        <v>20</v>
      </c>
      <c r="D119" s="43" t="s">
        <v>125</v>
      </c>
      <c r="E119" s="33">
        <v>1</v>
      </c>
      <c r="F119" s="58" t="s">
        <v>129</v>
      </c>
      <c r="G119" s="33">
        <v>5</v>
      </c>
      <c r="H119" s="33">
        <v>1</v>
      </c>
      <c r="I119" s="33">
        <v>5</v>
      </c>
      <c r="J119" s="59">
        <v>6</v>
      </c>
      <c r="K119" s="49"/>
      <c r="L119" s="49"/>
      <c r="M119" s="49"/>
      <c r="N119" s="49"/>
      <c r="O119">
        <f t="shared" si="0"/>
        <v>9</v>
      </c>
    </row>
    <row r="120" ht="63.15" spans="1:17">
      <c r="A120" s="91">
        <v>119</v>
      </c>
      <c r="B120" s="129"/>
      <c r="C120" s="33" t="s">
        <v>21</v>
      </c>
      <c r="D120" s="43" t="s">
        <v>125</v>
      </c>
      <c r="E120" s="33">
        <v>1</v>
      </c>
      <c r="F120" s="58" t="s">
        <v>130</v>
      </c>
      <c r="G120" s="33">
        <v>3</v>
      </c>
      <c r="H120" s="33">
        <v>3</v>
      </c>
      <c r="I120" s="33">
        <v>5</v>
      </c>
      <c r="J120" s="59">
        <v>7</v>
      </c>
      <c r="K120" s="49"/>
      <c r="L120" s="49"/>
      <c r="M120" s="49"/>
      <c r="N120" s="49"/>
      <c r="O120">
        <f t="shared" si="0"/>
        <v>11</v>
      </c>
    </row>
    <row r="121" ht="47.55" spans="1:17">
      <c r="A121" s="109">
        <v>120</v>
      </c>
      <c r="B121" s="129"/>
      <c r="C121" s="45" t="s">
        <v>22</v>
      </c>
      <c r="D121" s="131" t="s">
        <v>125</v>
      </c>
      <c r="E121" s="45">
        <v>1</v>
      </c>
      <c r="F121" s="47" t="s">
        <v>131</v>
      </c>
      <c r="G121" s="61">
        <v>3</v>
      </c>
      <c r="H121" s="61">
        <v>3</v>
      </c>
      <c r="I121" s="61">
        <v>5</v>
      </c>
      <c r="J121" s="64">
        <v>7</v>
      </c>
      <c r="K121" s="49">
        <f>SUM(G116:G121)</f>
        <v>23</v>
      </c>
      <c r="L121" s="49">
        <f>SUM(H116:H121)</f>
        <v>13</v>
      </c>
      <c r="M121" s="49">
        <f>SUM(I116:I121)</f>
        <v>31</v>
      </c>
      <c r="N121" s="49">
        <f>SUM(J116:J121)</f>
        <v>40</v>
      </c>
      <c r="O121">
        <f t="shared" si="0"/>
        <v>11</v>
      </c>
    </row>
    <row r="122" ht="31.95" spans="1:17">
      <c r="A122" s="91">
        <v>121</v>
      </c>
      <c r="B122" s="132" t="s">
        <v>132</v>
      </c>
      <c r="C122" s="52" t="s">
        <v>15</v>
      </c>
      <c r="D122" s="130" t="s">
        <v>125</v>
      </c>
      <c r="E122" s="52">
        <v>1</v>
      </c>
      <c r="F122" s="54" t="s">
        <v>133</v>
      </c>
      <c r="G122" s="77">
        <v>2</v>
      </c>
      <c r="H122" s="77">
        <v>2</v>
      </c>
      <c r="I122" s="52">
        <v>5</v>
      </c>
      <c r="J122" s="55">
        <v>6</v>
      </c>
      <c r="K122" s="49"/>
      <c r="L122" s="49"/>
      <c r="M122" s="49"/>
      <c r="N122" s="49"/>
      <c r="O122">
        <f t="shared" si="0"/>
        <v>9</v>
      </c>
    </row>
    <row r="123" ht="63.15" spans="1:17">
      <c r="A123" s="109">
        <v>122</v>
      </c>
      <c r="B123" s="132"/>
      <c r="C123" s="33" t="s">
        <v>18</v>
      </c>
      <c r="D123" s="43" t="s">
        <v>125</v>
      </c>
      <c r="E123" s="33">
        <v>1</v>
      </c>
      <c r="F123" s="58" t="s">
        <v>134</v>
      </c>
      <c r="G123" s="33">
        <v>4</v>
      </c>
      <c r="H123" s="33">
        <v>4</v>
      </c>
      <c r="I123" s="33">
        <v>6</v>
      </c>
      <c r="J123" s="59">
        <v>8</v>
      </c>
      <c r="K123" s="49"/>
      <c r="L123" s="49"/>
      <c r="M123" s="49"/>
      <c r="N123" s="49"/>
      <c r="O123">
        <f t="shared" si="0"/>
        <v>12</v>
      </c>
    </row>
    <row r="124" ht="47.55" spans="1:17">
      <c r="A124" s="91">
        <v>123</v>
      </c>
      <c r="B124" s="132"/>
      <c r="C124" s="33" t="s">
        <v>19</v>
      </c>
      <c r="D124" s="43" t="s">
        <v>125</v>
      </c>
      <c r="E124" s="33">
        <v>1</v>
      </c>
      <c r="F124" s="58" t="s">
        <v>135</v>
      </c>
      <c r="G124" s="33">
        <v>3</v>
      </c>
      <c r="H124" s="33">
        <v>2</v>
      </c>
      <c r="I124" s="33">
        <v>5</v>
      </c>
      <c r="J124" s="59">
        <v>6</v>
      </c>
      <c r="K124" s="49"/>
      <c r="L124" s="49"/>
      <c r="M124" s="49"/>
      <c r="N124" s="49"/>
      <c r="O124">
        <f t="shared" si="0"/>
        <v>9</v>
      </c>
    </row>
    <row r="125" ht="31.95" spans="1:17">
      <c r="A125" s="109">
        <v>124</v>
      </c>
      <c r="B125" s="132"/>
      <c r="C125" s="33" t="s">
        <v>20</v>
      </c>
      <c r="D125" s="43" t="s">
        <v>125</v>
      </c>
      <c r="E125" s="33">
        <v>1</v>
      </c>
      <c r="F125" s="58" t="s">
        <v>128</v>
      </c>
      <c r="G125" s="33">
        <v>3</v>
      </c>
      <c r="H125" s="33">
        <v>2</v>
      </c>
      <c r="I125" s="33">
        <v>5</v>
      </c>
      <c r="J125" s="59">
        <v>6</v>
      </c>
      <c r="K125" s="49"/>
      <c r="L125" s="49"/>
      <c r="M125" s="49"/>
      <c r="N125" s="49"/>
      <c r="O125">
        <f t="shared" si="0"/>
        <v>9</v>
      </c>
    </row>
    <row r="126" ht="31.95" spans="1:17">
      <c r="A126" s="91">
        <v>125</v>
      </c>
      <c r="B126" s="132"/>
      <c r="C126" s="33" t="s">
        <v>21</v>
      </c>
      <c r="D126" s="43" t="s">
        <v>125</v>
      </c>
      <c r="E126" s="33">
        <v>1</v>
      </c>
      <c r="F126" s="58" t="s">
        <v>136</v>
      </c>
      <c r="G126" s="33">
        <v>4</v>
      </c>
      <c r="H126" s="33">
        <v>3</v>
      </c>
      <c r="I126" s="33">
        <v>5</v>
      </c>
      <c r="J126" s="59">
        <v>7</v>
      </c>
      <c r="K126" s="49"/>
      <c r="L126" s="49"/>
      <c r="M126" s="49"/>
      <c r="N126" s="49"/>
      <c r="O126">
        <f t="shared" si="0"/>
        <v>11</v>
      </c>
    </row>
    <row r="127" ht="31.95" spans="1:17">
      <c r="A127" s="133">
        <v>126</v>
      </c>
      <c r="B127" s="132"/>
      <c r="C127" s="61" t="s">
        <v>22</v>
      </c>
      <c r="D127" s="134" t="s">
        <v>125</v>
      </c>
      <c r="E127" s="61">
        <v>1</v>
      </c>
      <c r="F127" s="63" t="s">
        <v>136</v>
      </c>
      <c r="G127" s="61">
        <v>4</v>
      </c>
      <c r="H127" s="61">
        <v>3</v>
      </c>
      <c r="I127" s="61">
        <v>5</v>
      </c>
      <c r="J127" s="64">
        <v>7</v>
      </c>
      <c r="K127" s="49">
        <f>SUM(G122:G127)</f>
        <v>20</v>
      </c>
      <c r="L127" s="49">
        <f>SUM(H122:H127)</f>
        <v>16</v>
      </c>
      <c r="M127" s="49">
        <f>SUM(I122:I127)</f>
        <v>31</v>
      </c>
      <c r="N127" s="49">
        <f>SUM(J122:J127)</f>
        <v>40</v>
      </c>
      <c r="O127">
        <f t="shared" si="0"/>
        <v>11</v>
      </c>
    </row>
    <row r="128" spans="1:17">
      <c r="O128">
        <f>SUM(O86:O127)</f>
        <v>346</v>
      </c>
      <c r="P128">
        <v>42</v>
      </c>
      <c r="Q128">
        <f>318+42*2</f>
        <v>402</v>
      </c>
    </row>
    <row r="132" spans="13:14">
      <c r="M132">
        <f>402+234</f>
        <v>636</v>
      </c>
      <c r="N132">
        <f>M132/(P128+装备牌武器!N44)</f>
        <v>10.7796610169492</v>
      </c>
    </row>
  </sheetData>
  <autoFilter xmlns:etc="http://www.wps.cn/officeDocument/2017/etCustomData" ref="A1:N127" etc:filterBottomFollowUsedRange="0">
    <extLst/>
  </autoFilter>
  <mergeCells count="21">
    <mergeCell ref="B2:B7"/>
    <mergeCell ref="B8:B13"/>
    <mergeCell ref="B14:B19"/>
    <mergeCell ref="B20:B25"/>
    <mergeCell ref="B26:B31"/>
    <mergeCell ref="B32:B37"/>
    <mergeCell ref="B38:B43"/>
    <mergeCell ref="B44:B49"/>
    <mergeCell ref="B50:B55"/>
    <mergeCell ref="B56:B61"/>
    <mergeCell ref="B62:B67"/>
    <mergeCell ref="B68:B73"/>
    <mergeCell ref="B74:B79"/>
    <mergeCell ref="B80:B85"/>
    <mergeCell ref="B86:B91"/>
    <mergeCell ref="B92:B97"/>
    <mergeCell ref="B98:B103"/>
    <mergeCell ref="B104:B109"/>
    <mergeCell ref="B110:B115"/>
    <mergeCell ref="B116:B121"/>
    <mergeCell ref="B122:B1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zoomScale="85" zoomScaleNormal="85" workbookViewId="0">
      <selection activeCell="K52" sqref="K52"/>
    </sheetView>
  </sheetViews>
  <sheetFormatPr defaultColWidth="8.88888888888889" defaultRowHeight="14.4"/>
  <cols>
    <col min="1" max="1" width="6.55555555555556" customWidth="1"/>
    <col min="2" max="2" width="13.4444444444444" customWidth="1"/>
    <col min="3" max="3" width="7.00925925925926" customWidth="1"/>
    <col min="4" max="4" width="5.92592592592593" customWidth="1"/>
    <col min="5" max="5" width="6.57407407407407" customWidth="1"/>
    <col min="6" max="6" width="33.712962962963" customWidth="1"/>
    <col min="7" max="7" width="6.7962962962963" customWidth="1"/>
    <col min="8" max="8" width="6.57407407407407" customWidth="1"/>
    <col min="9" max="9" width="6.58333333333333" customWidth="1"/>
    <col min="10" max="10" width="6.25" customWidth="1"/>
  </cols>
  <sheetData>
    <row r="1" ht="16.2" spans="1:14">
      <c r="A1" s="33" t="s">
        <v>0</v>
      </c>
      <c r="B1" s="31" t="s">
        <v>137</v>
      </c>
      <c r="C1" s="33" t="s">
        <v>138</v>
      </c>
      <c r="D1" s="31" t="s">
        <v>3</v>
      </c>
      <c r="E1" s="33" t="s">
        <v>4</v>
      </c>
      <c r="F1" s="33" t="s">
        <v>5</v>
      </c>
      <c r="G1" s="33" t="s">
        <v>139</v>
      </c>
      <c r="H1" s="33" t="s">
        <v>140</v>
      </c>
      <c r="I1" s="33" t="s">
        <v>8</v>
      </c>
      <c r="J1" s="33" t="s">
        <v>9</v>
      </c>
    </row>
    <row r="2" ht="62.4" spans="1:14">
      <c r="A2" s="33">
        <v>1</v>
      </c>
      <c r="B2" s="41" t="s">
        <v>141</v>
      </c>
      <c r="C2" s="33" t="s">
        <v>142</v>
      </c>
      <c r="D2" s="41" t="s">
        <v>16</v>
      </c>
      <c r="E2" s="33">
        <v>1</v>
      </c>
      <c r="F2" s="33" t="s">
        <v>143</v>
      </c>
      <c r="G2" s="33">
        <v>12</v>
      </c>
      <c r="H2" s="33">
        <v>2</v>
      </c>
      <c r="I2" s="33">
        <v>3</v>
      </c>
      <c r="J2" s="33">
        <v>3</v>
      </c>
    </row>
    <row r="3" ht="62.4" spans="1:14">
      <c r="A3" s="33">
        <v>3</v>
      </c>
      <c r="B3" s="41" t="s">
        <v>144</v>
      </c>
      <c r="C3" s="33" t="s">
        <v>142</v>
      </c>
      <c r="D3" s="41" t="s">
        <v>16</v>
      </c>
      <c r="E3" s="33">
        <v>1</v>
      </c>
      <c r="F3" s="33" t="s">
        <v>145</v>
      </c>
      <c r="G3" s="33">
        <v>11</v>
      </c>
      <c r="H3" s="33">
        <v>2</v>
      </c>
      <c r="I3" s="33">
        <v>3</v>
      </c>
      <c r="J3" s="33">
        <v>3</v>
      </c>
    </row>
    <row r="4" ht="31.2" spans="1:14">
      <c r="A4" s="33">
        <v>5</v>
      </c>
      <c r="B4" s="41" t="s">
        <v>146</v>
      </c>
      <c r="C4" s="33" t="s">
        <v>142</v>
      </c>
      <c r="D4" s="41" t="s">
        <v>16</v>
      </c>
      <c r="E4" s="33">
        <v>1</v>
      </c>
      <c r="F4" s="33" t="s">
        <v>147</v>
      </c>
      <c r="G4" s="33">
        <v>14</v>
      </c>
      <c r="H4" s="33">
        <v>1</v>
      </c>
      <c r="I4" s="33">
        <v>3</v>
      </c>
      <c r="J4" s="33">
        <v>3</v>
      </c>
    </row>
    <row r="5" ht="16.2" spans="1:14">
      <c r="A5" s="33">
        <v>6</v>
      </c>
      <c r="B5" s="41" t="s">
        <v>148</v>
      </c>
      <c r="C5" s="33" t="s">
        <v>142</v>
      </c>
      <c r="D5" s="41" t="s">
        <v>16</v>
      </c>
      <c r="E5" s="33">
        <v>1</v>
      </c>
      <c r="F5" s="33" t="s">
        <v>149</v>
      </c>
      <c r="G5" s="33">
        <v>15</v>
      </c>
      <c r="H5" s="33">
        <v>1</v>
      </c>
      <c r="I5" s="33">
        <v>3</v>
      </c>
      <c r="J5" s="33">
        <v>3</v>
      </c>
    </row>
    <row r="6" ht="31.2" spans="1:14">
      <c r="A6" s="33">
        <v>7</v>
      </c>
      <c r="B6" s="41" t="s">
        <v>150</v>
      </c>
      <c r="C6" s="33" t="s">
        <v>142</v>
      </c>
      <c r="D6" s="41" t="s">
        <v>16</v>
      </c>
      <c r="E6" s="33">
        <v>1</v>
      </c>
      <c r="F6" s="33" t="s">
        <v>151</v>
      </c>
      <c r="G6" s="33">
        <v>10</v>
      </c>
      <c r="H6" s="33">
        <v>3</v>
      </c>
      <c r="I6" s="33">
        <v>3</v>
      </c>
      <c r="J6" s="33">
        <v>3</v>
      </c>
    </row>
    <row r="7" ht="46.8" spans="1:14">
      <c r="A7" s="33">
        <v>8</v>
      </c>
      <c r="B7" s="42" t="s">
        <v>152</v>
      </c>
      <c r="C7" s="33" t="s">
        <v>142</v>
      </c>
      <c r="D7" s="42" t="s">
        <v>60</v>
      </c>
      <c r="E7" s="33">
        <v>2</v>
      </c>
      <c r="F7" s="33" t="s">
        <v>153</v>
      </c>
      <c r="G7" s="33">
        <v>14</v>
      </c>
      <c r="H7" s="33">
        <v>3</v>
      </c>
      <c r="I7" s="33">
        <v>4</v>
      </c>
      <c r="J7" s="33">
        <v>5</v>
      </c>
    </row>
    <row r="8" ht="46.8" spans="1:14">
      <c r="A8" s="33">
        <v>9</v>
      </c>
      <c r="B8" s="42" t="s">
        <v>154</v>
      </c>
      <c r="C8" s="33" t="s">
        <v>142</v>
      </c>
      <c r="D8" s="42" t="s">
        <v>60</v>
      </c>
      <c r="E8" s="33">
        <v>2</v>
      </c>
      <c r="F8" s="33" t="s">
        <v>153</v>
      </c>
      <c r="G8" s="33">
        <v>14</v>
      </c>
      <c r="H8" s="33">
        <v>3</v>
      </c>
      <c r="I8" s="33">
        <v>4</v>
      </c>
      <c r="J8" s="33">
        <v>5</v>
      </c>
    </row>
    <row r="9" ht="31.2" spans="1:14">
      <c r="A9" s="33">
        <v>10</v>
      </c>
      <c r="B9" s="42" t="s">
        <v>155</v>
      </c>
      <c r="C9" s="33" t="s">
        <v>142</v>
      </c>
      <c r="D9" s="42" t="s">
        <v>60</v>
      </c>
      <c r="E9" s="33">
        <v>1</v>
      </c>
      <c r="F9" s="33" t="s">
        <v>156</v>
      </c>
      <c r="G9" s="33">
        <v>14</v>
      </c>
      <c r="H9" s="33">
        <v>3</v>
      </c>
      <c r="I9" s="33">
        <v>4</v>
      </c>
      <c r="J9" s="33">
        <v>5</v>
      </c>
    </row>
    <row r="10" ht="46.8" spans="1:14">
      <c r="A10" s="33">
        <v>11</v>
      </c>
      <c r="B10" s="42" t="s">
        <v>157</v>
      </c>
      <c r="C10" s="33" t="s">
        <v>142</v>
      </c>
      <c r="D10" s="42" t="s">
        <v>60</v>
      </c>
      <c r="E10" s="33">
        <v>1</v>
      </c>
      <c r="F10" s="33" t="s">
        <v>158</v>
      </c>
      <c r="G10" s="33">
        <v>16</v>
      </c>
      <c r="H10" s="33">
        <v>3</v>
      </c>
      <c r="I10" s="33">
        <v>5</v>
      </c>
      <c r="J10" s="33">
        <v>5</v>
      </c>
    </row>
    <row r="11" ht="62.4" spans="1:14">
      <c r="A11" s="33">
        <v>12</v>
      </c>
      <c r="B11" s="42" t="s">
        <v>159</v>
      </c>
      <c r="C11" s="33" t="s">
        <v>142</v>
      </c>
      <c r="D11" s="42" t="s">
        <v>60</v>
      </c>
      <c r="E11" s="33">
        <v>1</v>
      </c>
      <c r="F11" s="33" t="s">
        <v>160</v>
      </c>
      <c r="G11" s="33">
        <v>10</v>
      </c>
      <c r="H11" s="33">
        <v>5</v>
      </c>
      <c r="I11" s="33">
        <v>4</v>
      </c>
      <c r="J11" s="33">
        <v>5</v>
      </c>
    </row>
    <row r="12" ht="62.4" spans="1:14">
      <c r="A12" s="33">
        <v>13</v>
      </c>
      <c r="B12" s="14" t="s">
        <v>161</v>
      </c>
      <c r="C12" s="33" t="s">
        <v>142</v>
      </c>
      <c r="D12" s="14" t="s">
        <v>99</v>
      </c>
      <c r="E12" s="33">
        <v>2</v>
      </c>
      <c r="F12" s="33" t="s">
        <v>162</v>
      </c>
      <c r="G12" s="33">
        <v>18</v>
      </c>
      <c r="H12" s="33">
        <v>3</v>
      </c>
      <c r="I12" s="33">
        <v>4</v>
      </c>
      <c r="J12" s="33">
        <v>7</v>
      </c>
      <c r="M12">
        <f>ROUNDUP(J12/2,0)+J12</f>
        <v>11</v>
      </c>
      <c r="N12">
        <f t="shared" ref="N12:N16" si="0">M12*E12</f>
        <v>22</v>
      </c>
    </row>
    <row r="13" ht="62.4" spans="1:14">
      <c r="A13" s="33">
        <v>14</v>
      </c>
      <c r="B13" s="14" t="s">
        <v>163</v>
      </c>
      <c r="C13" s="33" t="s">
        <v>142</v>
      </c>
      <c r="D13" s="14" t="s">
        <v>99</v>
      </c>
      <c r="E13" s="33">
        <v>2</v>
      </c>
      <c r="F13" s="33" t="s">
        <v>164</v>
      </c>
      <c r="G13" s="33">
        <v>18</v>
      </c>
      <c r="H13" s="33">
        <v>3</v>
      </c>
      <c r="I13" s="33">
        <v>4</v>
      </c>
      <c r="J13" s="33">
        <v>7</v>
      </c>
      <c r="M13">
        <f>ROUNDUP(J13/2,0)+J13</f>
        <v>11</v>
      </c>
      <c r="N13">
        <f t="shared" si="0"/>
        <v>22</v>
      </c>
    </row>
    <row r="14" ht="46.8" spans="1:14">
      <c r="A14" s="33">
        <v>15</v>
      </c>
      <c r="B14" s="14" t="s">
        <v>165</v>
      </c>
      <c r="C14" s="33" t="s">
        <v>142</v>
      </c>
      <c r="D14" s="14" t="s">
        <v>99</v>
      </c>
      <c r="E14" s="33">
        <v>1</v>
      </c>
      <c r="F14" s="33" t="s">
        <v>166</v>
      </c>
      <c r="G14" s="33">
        <v>18</v>
      </c>
      <c r="H14" s="33">
        <v>3</v>
      </c>
      <c r="I14" s="33">
        <v>4</v>
      </c>
      <c r="J14" s="33">
        <v>7</v>
      </c>
      <c r="M14">
        <f>ROUNDUP(J14/2,0)+J14</f>
        <v>11</v>
      </c>
      <c r="N14">
        <f t="shared" si="0"/>
        <v>11</v>
      </c>
    </row>
    <row r="15" ht="62.4" spans="1:14">
      <c r="A15" s="33">
        <v>16</v>
      </c>
      <c r="B15" s="43" t="s">
        <v>167</v>
      </c>
      <c r="C15" s="33" t="s">
        <v>142</v>
      </c>
      <c r="D15" s="43" t="s">
        <v>125</v>
      </c>
      <c r="E15" s="33">
        <v>1</v>
      </c>
      <c r="F15" s="33" t="s">
        <v>168</v>
      </c>
      <c r="G15" s="33">
        <v>22</v>
      </c>
      <c r="H15" s="33">
        <v>4</v>
      </c>
      <c r="I15" s="33">
        <v>5</v>
      </c>
      <c r="J15" s="33">
        <v>10</v>
      </c>
      <c r="M15">
        <f>ROUNDUP(J15/2,0)+J15</f>
        <v>15</v>
      </c>
      <c r="N15">
        <f t="shared" si="0"/>
        <v>15</v>
      </c>
    </row>
    <row r="16" ht="62.4" spans="1:14">
      <c r="A16" s="33">
        <v>17</v>
      </c>
      <c r="B16" s="43" t="s">
        <v>169</v>
      </c>
      <c r="C16" s="33" t="s">
        <v>142</v>
      </c>
      <c r="D16" s="43" t="s">
        <v>125</v>
      </c>
      <c r="E16" s="33">
        <v>1</v>
      </c>
      <c r="F16" s="33" t="s">
        <v>168</v>
      </c>
      <c r="G16" s="33">
        <v>22</v>
      </c>
      <c r="H16" s="33">
        <v>4</v>
      </c>
      <c r="I16" s="33">
        <v>5</v>
      </c>
      <c r="J16" s="33">
        <v>10</v>
      </c>
      <c r="M16">
        <f>ROUNDUP(J16/2,0)+J16</f>
        <v>15</v>
      </c>
      <c r="N16">
        <f t="shared" si="0"/>
        <v>15</v>
      </c>
    </row>
    <row r="17" ht="62.4" spans="1:14">
      <c r="A17" s="33">
        <v>18</v>
      </c>
      <c r="B17" s="41" t="s">
        <v>170</v>
      </c>
      <c r="C17" s="33" t="s">
        <v>171</v>
      </c>
      <c r="D17" s="41" t="s">
        <v>16</v>
      </c>
      <c r="E17" s="33">
        <v>1</v>
      </c>
      <c r="F17" s="33" t="s">
        <v>172</v>
      </c>
      <c r="G17" s="33">
        <v>8</v>
      </c>
      <c r="H17" s="33">
        <v>4</v>
      </c>
      <c r="I17" s="33">
        <v>3</v>
      </c>
      <c r="J17" s="33">
        <v>3</v>
      </c>
    </row>
    <row r="18" ht="62.4" spans="1:14">
      <c r="A18" s="33">
        <v>20</v>
      </c>
      <c r="B18" s="41" t="s">
        <v>173</v>
      </c>
      <c r="C18" s="33" t="s">
        <v>171</v>
      </c>
      <c r="D18" s="41" t="s">
        <v>16</v>
      </c>
      <c r="E18" s="33">
        <v>1</v>
      </c>
      <c r="F18" s="33" t="s">
        <v>174</v>
      </c>
      <c r="G18" s="33">
        <v>9</v>
      </c>
      <c r="H18" s="33">
        <v>4</v>
      </c>
      <c r="I18" s="33">
        <v>3</v>
      </c>
      <c r="J18" s="33">
        <v>3</v>
      </c>
    </row>
    <row r="19" ht="46.8" spans="1:14">
      <c r="A19" s="33">
        <v>22</v>
      </c>
      <c r="B19" s="41" t="s">
        <v>175</v>
      </c>
      <c r="C19" s="33" t="s">
        <v>171</v>
      </c>
      <c r="D19" s="41" t="s">
        <v>16</v>
      </c>
      <c r="E19" s="33">
        <v>1</v>
      </c>
      <c r="F19" s="33" t="s">
        <v>176</v>
      </c>
      <c r="G19" s="33">
        <v>9</v>
      </c>
      <c r="H19" s="33">
        <v>3</v>
      </c>
      <c r="I19" s="33">
        <v>3</v>
      </c>
      <c r="J19" s="33">
        <v>3</v>
      </c>
    </row>
    <row r="20" ht="46.8" spans="1:14">
      <c r="A20" s="33">
        <v>23</v>
      </c>
      <c r="B20" s="41" t="s">
        <v>177</v>
      </c>
      <c r="C20" s="33" t="s">
        <v>171</v>
      </c>
      <c r="D20" s="41" t="s">
        <v>16</v>
      </c>
      <c r="E20" s="33">
        <v>1</v>
      </c>
      <c r="F20" s="33" t="s">
        <v>176</v>
      </c>
      <c r="G20" s="33">
        <v>7</v>
      </c>
      <c r="H20" s="33">
        <v>4</v>
      </c>
      <c r="I20" s="33">
        <v>3</v>
      </c>
      <c r="J20" s="33">
        <v>3</v>
      </c>
    </row>
    <row r="21" ht="31.2" spans="1:14">
      <c r="A21" s="33">
        <v>24</v>
      </c>
      <c r="B21" s="41" t="s">
        <v>178</v>
      </c>
      <c r="C21" s="33" t="s">
        <v>171</v>
      </c>
      <c r="D21" s="41" t="s">
        <v>16</v>
      </c>
      <c r="E21" s="33">
        <v>1</v>
      </c>
      <c r="F21" s="33" t="s">
        <v>179</v>
      </c>
      <c r="G21" s="33">
        <v>6</v>
      </c>
      <c r="H21" s="33">
        <v>4</v>
      </c>
      <c r="I21" s="33">
        <v>3</v>
      </c>
      <c r="J21" s="33">
        <v>3</v>
      </c>
    </row>
    <row r="22" ht="46.8" spans="1:14">
      <c r="A22" s="33">
        <v>25</v>
      </c>
      <c r="B22" s="42" t="s">
        <v>180</v>
      </c>
      <c r="C22" s="33" t="s">
        <v>171</v>
      </c>
      <c r="D22" s="42" t="s">
        <v>60</v>
      </c>
      <c r="E22" s="33">
        <v>2</v>
      </c>
      <c r="F22" s="33" t="s">
        <v>153</v>
      </c>
      <c r="G22" s="33">
        <v>10</v>
      </c>
      <c r="H22" s="33">
        <v>5</v>
      </c>
      <c r="I22" s="33">
        <v>4</v>
      </c>
      <c r="J22" s="33">
        <v>5</v>
      </c>
    </row>
    <row r="23" ht="46.8" spans="1:14">
      <c r="A23" s="33">
        <v>26</v>
      </c>
      <c r="B23" s="42" t="s">
        <v>181</v>
      </c>
      <c r="C23" s="33" t="s">
        <v>171</v>
      </c>
      <c r="D23" s="42" t="s">
        <v>60</v>
      </c>
      <c r="E23" s="33">
        <v>2</v>
      </c>
      <c r="F23" s="33" t="s">
        <v>153</v>
      </c>
      <c r="G23" s="33">
        <v>10</v>
      </c>
      <c r="H23" s="33">
        <v>5</v>
      </c>
      <c r="I23" s="33">
        <v>4</v>
      </c>
      <c r="J23" s="33">
        <v>5</v>
      </c>
    </row>
    <row r="24" ht="46.8" spans="1:14">
      <c r="A24" s="33">
        <v>27</v>
      </c>
      <c r="B24" s="42" t="s">
        <v>182</v>
      </c>
      <c r="C24" s="33" t="s">
        <v>171</v>
      </c>
      <c r="D24" s="42" t="s">
        <v>60</v>
      </c>
      <c r="E24" s="33">
        <v>1</v>
      </c>
      <c r="F24" s="33" t="s">
        <v>176</v>
      </c>
      <c r="G24" s="33">
        <v>13</v>
      </c>
      <c r="H24" s="33">
        <v>4</v>
      </c>
      <c r="I24" s="33">
        <v>4</v>
      </c>
      <c r="J24" s="33">
        <v>5</v>
      </c>
    </row>
    <row r="25" ht="46.8" spans="1:14">
      <c r="A25" s="33">
        <v>28</v>
      </c>
      <c r="B25" s="42" t="s">
        <v>183</v>
      </c>
      <c r="C25" s="33" t="s">
        <v>171</v>
      </c>
      <c r="D25" s="42" t="s">
        <v>60</v>
      </c>
      <c r="E25" s="33">
        <v>1</v>
      </c>
      <c r="F25" s="33" t="s">
        <v>184</v>
      </c>
      <c r="G25" s="33">
        <v>9</v>
      </c>
      <c r="H25" s="33">
        <v>5</v>
      </c>
      <c r="I25" s="33">
        <v>4</v>
      </c>
      <c r="J25" s="33">
        <v>5</v>
      </c>
    </row>
    <row r="26" ht="31.2" spans="1:14">
      <c r="A26" s="33">
        <v>29</v>
      </c>
      <c r="B26" s="42" t="s">
        <v>185</v>
      </c>
      <c r="C26" s="33" t="s">
        <v>171</v>
      </c>
      <c r="D26" s="42" t="s">
        <v>60</v>
      </c>
      <c r="E26" s="33">
        <v>1</v>
      </c>
      <c r="F26" s="33" t="s">
        <v>156</v>
      </c>
      <c r="G26" s="33">
        <v>10</v>
      </c>
      <c r="H26" s="33">
        <v>5</v>
      </c>
      <c r="I26" s="33">
        <v>4</v>
      </c>
      <c r="J26" s="33">
        <v>5</v>
      </c>
    </row>
    <row r="27" ht="46.8" spans="1:14">
      <c r="A27" s="33">
        <v>30</v>
      </c>
      <c r="B27" s="14" t="s">
        <v>186</v>
      </c>
      <c r="C27" s="33" t="s">
        <v>171</v>
      </c>
      <c r="D27" s="14" t="s">
        <v>99</v>
      </c>
      <c r="E27" s="33">
        <v>2</v>
      </c>
      <c r="F27" s="33" t="s">
        <v>187</v>
      </c>
      <c r="G27" s="33">
        <v>14</v>
      </c>
      <c r="H27" s="33">
        <v>6</v>
      </c>
      <c r="I27" s="33">
        <v>4</v>
      </c>
      <c r="J27" s="33">
        <v>7</v>
      </c>
      <c r="M27">
        <f t="shared" ref="M27:M31" si="1">ROUNDUP(J27/2,0)+J27</f>
        <v>11</v>
      </c>
      <c r="N27">
        <f>M27*E27</f>
        <v>22</v>
      </c>
    </row>
    <row r="28" ht="46.8" spans="1:14">
      <c r="A28" s="33">
        <v>31</v>
      </c>
      <c r="B28" s="14" t="s">
        <v>188</v>
      </c>
      <c r="C28" s="33" t="s">
        <v>171</v>
      </c>
      <c r="D28" s="14" t="s">
        <v>99</v>
      </c>
      <c r="E28" s="33">
        <v>2</v>
      </c>
      <c r="F28" s="33" t="s">
        <v>189</v>
      </c>
      <c r="G28" s="33">
        <v>15</v>
      </c>
      <c r="H28" s="33">
        <v>5</v>
      </c>
      <c r="I28" s="33">
        <v>4</v>
      </c>
      <c r="J28" s="33">
        <v>7</v>
      </c>
      <c r="M28">
        <f t="shared" si="1"/>
        <v>11</v>
      </c>
      <c r="N28">
        <f>M28*E28</f>
        <v>22</v>
      </c>
    </row>
    <row r="29" ht="46.8" spans="1:14">
      <c r="A29" s="33">
        <v>32</v>
      </c>
      <c r="B29" s="14" t="s">
        <v>190</v>
      </c>
      <c r="C29" s="33" t="s">
        <v>171</v>
      </c>
      <c r="D29" s="14" t="s">
        <v>99</v>
      </c>
      <c r="E29" s="33">
        <v>1</v>
      </c>
      <c r="F29" s="33" t="s">
        <v>191</v>
      </c>
      <c r="G29" s="33">
        <v>14</v>
      </c>
      <c r="H29" s="33">
        <v>6</v>
      </c>
      <c r="I29" s="33">
        <v>4</v>
      </c>
      <c r="J29" s="33">
        <v>7</v>
      </c>
      <c r="M29">
        <f t="shared" si="1"/>
        <v>11</v>
      </c>
      <c r="N29">
        <f>M29*E29</f>
        <v>11</v>
      </c>
    </row>
    <row r="30" ht="46.8" spans="1:14">
      <c r="A30" s="33">
        <v>33</v>
      </c>
      <c r="B30" s="43" t="s">
        <v>192</v>
      </c>
      <c r="C30" s="33" t="s">
        <v>171</v>
      </c>
      <c r="D30" s="43" t="s">
        <v>125</v>
      </c>
      <c r="E30" s="33">
        <v>1</v>
      </c>
      <c r="F30" s="33" t="s">
        <v>193</v>
      </c>
      <c r="G30" s="33">
        <v>18</v>
      </c>
      <c r="H30" s="33">
        <v>7</v>
      </c>
      <c r="I30" s="33">
        <v>5</v>
      </c>
      <c r="J30" s="33">
        <v>10</v>
      </c>
      <c r="M30">
        <f t="shared" si="1"/>
        <v>15</v>
      </c>
      <c r="N30">
        <f>M30*E30</f>
        <v>15</v>
      </c>
    </row>
    <row r="31" ht="46.8" spans="1:14">
      <c r="A31" s="33">
        <v>34</v>
      </c>
      <c r="B31" s="43" t="s">
        <v>194</v>
      </c>
      <c r="C31" s="33" t="s">
        <v>171</v>
      </c>
      <c r="D31" s="43" t="s">
        <v>125</v>
      </c>
      <c r="E31" s="33">
        <v>1</v>
      </c>
      <c r="F31" s="33" t="s">
        <v>193</v>
      </c>
      <c r="G31" s="33">
        <v>18</v>
      </c>
      <c r="H31" s="33">
        <v>7</v>
      </c>
      <c r="I31" s="33">
        <v>5</v>
      </c>
      <c r="J31" s="33">
        <v>10</v>
      </c>
      <c r="M31">
        <f t="shared" si="1"/>
        <v>15</v>
      </c>
      <c r="N31">
        <f>M31*E31</f>
        <v>15</v>
      </c>
    </row>
    <row r="32" ht="31.2" spans="1:14">
      <c r="A32" s="33">
        <v>35</v>
      </c>
      <c r="B32" s="41" t="s">
        <v>195</v>
      </c>
      <c r="C32" s="33" t="s">
        <v>196</v>
      </c>
      <c r="D32" s="41" t="s">
        <v>16</v>
      </c>
      <c r="E32" s="33">
        <v>2</v>
      </c>
      <c r="F32" s="33" t="s">
        <v>197</v>
      </c>
      <c r="G32" s="33">
        <v>6</v>
      </c>
      <c r="H32" s="33">
        <v>1</v>
      </c>
      <c r="I32" s="33">
        <v>4</v>
      </c>
      <c r="J32" s="33">
        <v>4</v>
      </c>
    </row>
    <row r="33" ht="46.8" spans="1:15">
      <c r="A33" s="33">
        <v>38</v>
      </c>
      <c r="B33" s="41" t="s">
        <v>198</v>
      </c>
      <c r="C33" s="33" t="s">
        <v>196</v>
      </c>
      <c r="D33" s="41" t="s">
        <v>16</v>
      </c>
      <c r="E33" s="33">
        <v>2</v>
      </c>
      <c r="F33" s="33" t="s">
        <v>199</v>
      </c>
      <c r="G33" s="33">
        <v>7</v>
      </c>
      <c r="H33" s="33">
        <v>4</v>
      </c>
      <c r="I33" s="33">
        <v>6</v>
      </c>
      <c r="J33" s="33">
        <v>3</v>
      </c>
    </row>
    <row r="34" ht="46.8" spans="1:15">
      <c r="A34" s="33" t="s">
        <v>200</v>
      </c>
      <c r="B34" s="41" t="s">
        <v>201</v>
      </c>
      <c r="C34" s="33" t="s">
        <v>196</v>
      </c>
      <c r="D34" s="41" t="s">
        <v>16</v>
      </c>
      <c r="E34" s="33">
        <v>2</v>
      </c>
      <c r="F34" s="33" t="s">
        <v>202</v>
      </c>
      <c r="G34" s="33">
        <v>4</v>
      </c>
      <c r="H34" s="33">
        <v>3</v>
      </c>
      <c r="I34" s="33">
        <v>4</v>
      </c>
      <c r="J34" s="33">
        <v>4</v>
      </c>
    </row>
    <row r="35" ht="62.4" spans="1:15">
      <c r="A35" s="33" t="s">
        <v>203</v>
      </c>
      <c r="B35" s="41" t="s">
        <v>204</v>
      </c>
      <c r="C35" s="33" t="s">
        <v>196</v>
      </c>
      <c r="D35" s="41" t="s">
        <v>16</v>
      </c>
      <c r="E35" s="33">
        <v>2</v>
      </c>
      <c r="F35" s="33" t="s">
        <v>205</v>
      </c>
      <c r="G35" s="33">
        <v>6</v>
      </c>
      <c r="H35" s="33">
        <v>1</v>
      </c>
      <c r="I35" s="33">
        <v>4</v>
      </c>
      <c r="J35" s="33">
        <v>3</v>
      </c>
    </row>
    <row r="36" ht="31.2" spans="1:15">
      <c r="A36" s="33" t="s">
        <v>206</v>
      </c>
      <c r="B36" s="42" t="s">
        <v>207</v>
      </c>
      <c r="C36" s="33" t="s">
        <v>196</v>
      </c>
      <c r="D36" s="42" t="s">
        <v>60</v>
      </c>
      <c r="E36" s="33">
        <v>2</v>
      </c>
      <c r="F36" s="33" t="s">
        <v>197</v>
      </c>
      <c r="G36" s="33">
        <v>8</v>
      </c>
      <c r="H36" s="33">
        <v>1</v>
      </c>
      <c r="I36" s="33">
        <v>5</v>
      </c>
      <c r="J36" s="33">
        <v>5</v>
      </c>
    </row>
    <row r="37" ht="78" spans="1:15">
      <c r="A37" s="33" t="s">
        <v>208</v>
      </c>
      <c r="B37" s="42" t="s">
        <v>209</v>
      </c>
      <c r="C37" s="33" t="s">
        <v>196</v>
      </c>
      <c r="D37" s="42" t="s">
        <v>60</v>
      </c>
      <c r="E37" s="33">
        <v>2</v>
      </c>
      <c r="F37" s="33" t="s">
        <v>210</v>
      </c>
      <c r="G37" s="33">
        <v>12</v>
      </c>
      <c r="H37" s="33">
        <v>4</v>
      </c>
      <c r="I37" s="33">
        <v>6</v>
      </c>
      <c r="J37" s="33">
        <v>5</v>
      </c>
    </row>
    <row r="38" ht="62.4" spans="1:15">
      <c r="A38" s="33">
        <v>47</v>
      </c>
      <c r="B38" s="42" t="s">
        <v>211</v>
      </c>
      <c r="C38" s="33" t="s">
        <v>196</v>
      </c>
      <c r="D38" s="42" t="s">
        <v>60</v>
      </c>
      <c r="E38" s="33">
        <v>1</v>
      </c>
      <c r="F38" s="33" t="s">
        <v>212</v>
      </c>
      <c r="G38" s="33">
        <v>6</v>
      </c>
      <c r="H38" s="33">
        <v>3</v>
      </c>
      <c r="I38" s="33">
        <v>5</v>
      </c>
      <c r="J38" s="33">
        <v>5</v>
      </c>
    </row>
    <row r="39" ht="31.2" spans="1:15">
      <c r="A39" s="33">
        <v>48</v>
      </c>
      <c r="B39" s="14" t="s">
        <v>213</v>
      </c>
      <c r="C39" s="33" t="s">
        <v>196</v>
      </c>
      <c r="D39" s="14" t="s">
        <v>99</v>
      </c>
      <c r="E39" s="33">
        <v>1</v>
      </c>
      <c r="F39" s="33" t="s">
        <v>197</v>
      </c>
      <c r="G39" s="33">
        <v>10</v>
      </c>
      <c r="H39" s="33">
        <v>2</v>
      </c>
      <c r="I39" s="33">
        <v>6</v>
      </c>
      <c r="J39" s="33">
        <v>6</v>
      </c>
      <c r="M39">
        <f>ROUNDUP(J39/2,0)+J39</f>
        <v>9</v>
      </c>
      <c r="N39">
        <f t="shared" ref="N39:N41" si="2">M39*E39</f>
        <v>9</v>
      </c>
    </row>
    <row r="40" ht="78" spans="1:15">
      <c r="A40" s="33">
        <v>49</v>
      </c>
      <c r="B40" s="14" t="s">
        <v>214</v>
      </c>
      <c r="C40" s="33" t="s">
        <v>196</v>
      </c>
      <c r="D40" s="14" t="s">
        <v>99</v>
      </c>
      <c r="E40" s="33">
        <v>1</v>
      </c>
      <c r="F40" s="33" t="s">
        <v>215</v>
      </c>
      <c r="G40" s="33">
        <v>14</v>
      </c>
      <c r="H40" s="33">
        <v>4</v>
      </c>
      <c r="I40" s="33">
        <v>6</v>
      </c>
      <c r="J40" s="33">
        <v>6</v>
      </c>
      <c r="M40">
        <f>ROUNDUP(J40/2,0)+J40</f>
        <v>9</v>
      </c>
      <c r="N40">
        <f t="shared" si="2"/>
        <v>9</v>
      </c>
    </row>
    <row r="41" ht="62.4" spans="1:15">
      <c r="A41" s="33">
        <v>50</v>
      </c>
      <c r="B41" s="43" t="s">
        <v>216</v>
      </c>
      <c r="C41" s="33" t="s">
        <v>196</v>
      </c>
      <c r="D41" s="43" t="s">
        <v>125</v>
      </c>
      <c r="E41" s="33">
        <v>1</v>
      </c>
      <c r="F41" s="33" t="s">
        <v>217</v>
      </c>
      <c r="G41" s="33">
        <v>1</v>
      </c>
      <c r="H41" s="33">
        <v>1</v>
      </c>
      <c r="I41" s="33">
        <v>5</v>
      </c>
      <c r="J41" s="33">
        <v>8</v>
      </c>
      <c r="M41">
        <f>ROUNDUP(J41/2,0)+J41</f>
        <v>12</v>
      </c>
      <c r="N41">
        <f t="shared" si="2"/>
        <v>12</v>
      </c>
    </row>
    <row r="42" ht="16.2" spans="1:15">
      <c r="A42" s="33"/>
      <c r="B42" s="31"/>
      <c r="C42" s="33"/>
      <c r="D42" s="31"/>
      <c r="E42" s="33">
        <f>SUM(E2:E41)</f>
        <v>54</v>
      </c>
      <c r="F42" s="33"/>
      <c r="G42" s="33"/>
      <c r="H42" s="33"/>
      <c r="I42" s="33"/>
      <c r="J42" s="33"/>
    </row>
    <row r="44" spans="1:15">
      <c r="M44">
        <f>SUM(N12:N41)</f>
        <v>200</v>
      </c>
      <c r="N44">
        <f>SUM(E39:E41,E27:E31,E12:E16)</f>
        <v>17</v>
      </c>
      <c r="O44">
        <f>200+17*2</f>
        <v>234</v>
      </c>
    </row>
  </sheetData>
  <autoFilter xmlns:etc="http://www.wps.cn/officeDocument/2017/etCustomData" ref="D1:D4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opLeftCell="A44" workbookViewId="0">
      <selection activeCell="L23" sqref="L23"/>
    </sheetView>
  </sheetViews>
  <sheetFormatPr defaultColWidth="8.88888888888889" defaultRowHeight="14.4"/>
  <cols>
    <col min="2" max="2" width="9.33333333333333" customWidth="1"/>
    <col min="6" max="6" width="31" customWidth="1"/>
  </cols>
  <sheetData>
    <row r="1" ht="31.2" spans="1:14">
      <c r="A1" s="30" t="s">
        <v>0</v>
      </c>
      <c r="B1" s="31" t="s">
        <v>218</v>
      </c>
      <c r="C1" s="31" t="s">
        <v>219</v>
      </c>
      <c r="D1" s="32" t="s">
        <v>220</v>
      </c>
      <c r="E1" s="33" t="s">
        <v>221</v>
      </c>
      <c r="F1" s="33" t="s">
        <v>222</v>
      </c>
      <c r="G1" s="33" t="s">
        <v>6</v>
      </c>
      <c r="H1" s="33" t="s">
        <v>7</v>
      </c>
      <c r="I1" s="33" t="s">
        <v>139</v>
      </c>
      <c r="J1" s="33" t="s">
        <v>140</v>
      </c>
      <c r="K1" s="33" t="s">
        <v>223</v>
      </c>
    </row>
    <row r="2" ht="28.8" spans="1:14">
      <c r="A2" s="34">
        <v>1</v>
      </c>
      <c r="B2" s="35" t="s">
        <v>224</v>
      </c>
      <c r="C2" s="36" t="s">
        <v>225</v>
      </c>
      <c r="D2" s="37" t="s">
        <v>226</v>
      </c>
      <c r="E2" s="36" t="s">
        <v>227</v>
      </c>
      <c r="F2" s="38" t="s">
        <v>228</v>
      </c>
      <c r="G2" s="36" t="s">
        <v>227</v>
      </c>
      <c r="H2" s="36" t="s">
        <v>227</v>
      </c>
      <c r="I2" s="36" t="s">
        <v>227</v>
      </c>
      <c r="J2" s="36" t="s">
        <v>227</v>
      </c>
      <c r="K2" s="36">
        <v>25</v>
      </c>
    </row>
    <row r="3" ht="15.6" spans="1:14">
      <c r="A3" s="34">
        <v>2</v>
      </c>
      <c r="B3" s="35"/>
      <c r="C3" s="36"/>
      <c r="D3" s="32" t="s">
        <v>15</v>
      </c>
      <c r="E3" s="36" t="s">
        <v>227</v>
      </c>
      <c r="F3" s="36" t="s">
        <v>227</v>
      </c>
      <c r="G3" s="36">
        <v>1</v>
      </c>
      <c r="H3" s="36">
        <v>0</v>
      </c>
      <c r="I3" s="36" t="s">
        <v>227</v>
      </c>
      <c r="J3" s="36" t="s">
        <v>227</v>
      </c>
      <c r="K3" s="36" t="s">
        <v>227</v>
      </c>
    </row>
    <row r="4" ht="15.6" spans="1:14">
      <c r="A4" s="34">
        <v>3</v>
      </c>
      <c r="B4" s="35"/>
      <c r="C4" s="36"/>
      <c r="D4" s="32" t="s">
        <v>18</v>
      </c>
      <c r="E4" s="36" t="s">
        <v>227</v>
      </c>
      <c r="F4" s="36" t="s">
        <v>227</v>
      </c>
      <c r="G4" s="34">
        <v>3</v>
      </c>
      <c r="H4" s="36">
        <v>1</v>
      </c>
      <c r="I4" s="37" t="s">
        <v>227</v>
      </c>
      <c r="J4" s="36" t="s">
        <v>227</v>
      </c>
      <c r="K4" s="36" t="s">
        <v>227</v>
      </c>
    </row>
    <row r="5" ht="15.6" spans="1:14">
      <c r="A5" s="34">
        <v>4</v>
      </c>
      <c r="B5" s="35"/>
      <c r="C5" s="36"/>
      <c r="D5" s="32" t="s">
        <v>19</v>
      </c>
      <c r="E5" s="36" t="s">
        <v>227</v>
      </c>
      <c r="F5" s="36" t="s">
        <v>227</v>
      </c>
      <c r="G5" s="34">
        <v>2</v>
      </c>
      <c r="H5" s="36">
        <v>0</v>
      </c>
      <c r="I5" s="37" t="s">
        <v>227</v>
      </c>
      <c r="J5" s="36" t="s">
        <v>227</v>
      </c>
      <c r="K5" s="36" t="s">
        <v>227</v>
      </c>
    </row>
    <row r="6" ht="15.6" spans="1:14">
      <c r="A6" s="34">
        <v>5</v>
      </c>
      <c r="B6" s="35"/>
      <c r="C6" s="36"/>
      <c r="D6" s="32" t="s">
        <v>20</v>
      </c>
      <c r="E6" s="36" t="s">
        <v>227</v>
      </c>
      <c r="F6" s="36" t="s">
        <v>227</v>
      </c>
      <c r="G6" s="34">
        <v>1</v>
      </c>
      <c r="H6" s="36">
        <v>1</v>
      </c>
      <c r="I6" s="37" t="s">
        <v>227</v>
      </c>
      <c r="J6" s="36" t="s">
        <v>227</v>
      </c>
      <c r="K6" s="36" t="s">
        <v>227</v>
      </c>
    </row>
    <row r="7" ht="15.6" spans="1:14">
      <c r="A7" s="34">
        <v>6</v>
      </c>
      <c r="B7" s="35"/>
      <c r="C7" s="36"/>
      <c r="D7" s="32" t="s">
        <v>21</v>
      </c>
      <c r="E7" s="36" t="s">
        <v>227</v>
      </c>
      <c r="F7" s="36" t="s">
        <v>227</v>
      </c>
      <c r="G7" s="34">
        <v>0</v>
      </c>
      <c r="H7" s="36">
        <v>1</v>
      </c>
      <c r="I7" s="37" t="s">
        <v>227</v>
      </c>
      <c r="J7" s="36" t="s">
        <v>227</v>
      </c>
      <c r="K7" s="36" t="s">
        <v>227</v>
      </c>
      <c r="M7">
        <v>7</v>
      </c>
      <c r="N7">
        <v>4</v>
      </c>
    </row>
    <row r="8" ht="15.6" spans="1:14">
      <c r="A8" s="34">
        <v>7</v>
      </c>
      <c r="B8" s="35"/>
      <c r="C8" s="36"/>
      <c r="D8" s="32" t="s">
        <v>22</v>
      </c>
      <c r="E8" s="36" t="s">
        <v>227</v>
      </c>
      <c r="F8" s="36" t="s">
        <v>227</v>
      </c>
      <c r="G8" s="34">
        <v>0</v>
      </c>
      <c r="H8" s="36">
        <v>1</v>
      </c>
      <c r="I8" s="37" t="s">
        <v>227</v>
      </c>
      <c r="J8" s="36" t="s">
        <v>227</v>
      </c>
      <c r="K8" s="36" t="s">
        <v>227</v>
      </c>
    </row>
    <row r="9" spans="1:14">
      <c r="A9" s="34">
        <v>8</v>
      </c>
      <c r="B9" s="35"/>
      <c r="C9" s="36"/>
      <c r="D9" s="37" t="s">
        <v>229</v>
      </c>
      <c r="E9" s="36" t="s">
        <v>230</v>
      </c>
      <c r="F9" s="36" t="s">
        <v>142</v>
      </c>
      <c r="G9" s="34" t="s">
        <v>227</v>
      </c>
      <c r="H9" s="36" t="s">
        <v>227</v>
      </c>
      <c r="I9" s="37">
        <v>10</v>
      </c>
      <c r="J9" s="36">
        <v>2</v>
      </c>
      <c r="K9" s="36" t="s">
        <v>227</v>
      </c>
    </row>
    <row r="10" spans="1:14">
      <c r="A10" s="34">
        <v>9</v>
      </c>
      <c r="B10" s="35"/>
      <c r="C10" s="36"/>
      <c r="D10" s="37" t="s">
        <v>231</v>
      </c>
      <c r="E10" s="36" t="s">
        <v>232</v>
      </c>
      <c r="F10" s="36" t="s">
        <v>171</v>
      </c>
      <c r="G10" s="34" t="s">
        <v>227</v>
      </c>
      <c r="H10" s="36" t="s">
        <v>227</v>
      </c>
      <c r="I10" s="37">
        <v>6</v>
      </c>
      <c r="J10" s="36">
        <v>4</v>
      </c>
      <c r="K10" s="36" t="s">
        <v>227</v>
      </c>
    </row>
    <row r="11" ht="57.6" spans="1:14">
      <c r="A11" s="34">
        <v>10</v>
      </c>
      <c r="B11" s="35"/>
      <c r="C11" s="36"/>
      <c r="D11" s="37" t="s">
        <v>233</v>
      </c>
      <c r="E11" s="36" t="s">
        <v>227</v>
      </c>
      <c r="F11" s="38" t="s">
        <v>234</v>
      </c>
      <c r="G11" s="36" t="s">
        <v>227</v>
      </c>
      <c r="H11" s="36" t="s">
        <v>227</v>
      </c>
      <c r="I11" s="36" t="s">
        <v>227</v>
      </c>
      <c r="J11" s="36" t="s">
        <v>227</v>
      </c>
      <c r="K11" s="36">
        <v>1</v>
      </c>
    </row>
    <row r="12" ht="57.6" spans="1:14">
      <c r="A12" s="34">
        <v>11</v>
      </c>
      <c r="B12" s="35"/>
      <c r="C12" s="36"/>
      <c r="D12" s="37" t="s">
        <v>235</v>
      </c>
      <c r="E12" s="36" t="s">
        <v>227</v>
      </c>
      <c r="F12" s="38" t="s">
        <v>234</v>
      </c>
      <c r="G12" s="36" t="s">
        <v>227</v>
      </c>
      <c r="H12" s="36" t="s">
        <v>227</v>
      </c>
      <c r="I12" s="36" t="s">
        <v>227</v>
      </c>
      <c r="J12" s="36" t="s">
        <v>227</v>
      </c>
      <c r="K12" s="36">
        <v>1</v>
      </c>
    </row>
    <row r="13" ht="28.8" spans="1:14">
      <c r="A13" s="36">
        <v>12</v>
      </c>
      <c r="B13" s="39" t="s">
        <v>236</v>
      </c>
      <c r="C13" s="40" t="s">
        <v>237</v>
      </c>
      <c r="D13" s="36" t="s">
        <v>226</v>
      </c>
      <c r="E13" s="36" t="s">
        <v>227</v>
      </c>
      <c r="F13" s="38" t="s">
        <v>238</v>
      </c>
      <c r="G13" s="36" t="s">
        <v>227</v>
      </c>
      <c r="H13" s="36" t="s">
        <v>227</v>
      </c>
      <c r="I13" s="36" t="s">
        <v>227</v>
      </c>
      <c r="J13" s="36" t="s">
        <v>227</v>
      </c>
      <c r="K13" s="36">
        <v>25</v>
      </c>
    </row>
    <row r="14" ht="15.6" spans="1:14">
      <c r="A14" s="36">
        <v>13</v>
      </c>
      <c r="B14" s="39"/>
      <c r="C14" s="40"/>
      <c r="D14" s="33" t="s">
        <v>15</v>
      </c>
      <c r="E14" s="36" t="s">
        <v>227</v>
      </c>
      <c r="F14" s="36" t="s">
        <v>227</v>
      </c>
      <c r="G14" s="36">
        <v>0</v>
      </c>
      <c r="H14" s="36">
        <v>1</v>
      </c>
      <c r="I14" s="36" t="s">
        <v>227</v>
      </c>
      <c r="J14" s="36" t="s">
        <v>227</v>
      </c>
      <c r="K14" s="36" t="s">
        <v>227</v>
      </c>
    </row>
    <row r="15" ht="15.6" spans="1:14">
      <c r="A15" s="36">
        <v>14</v>
      </c>
      <c r="B15" s="39"/>
      <c r="C15" s="40"/>
      <c r="D15" s="33" t="s">
        <v>18</v>
      </c>
      <c r="E15" s="36" t="s">
        <v>227</v>
      </c>
      <c r="F15" s="36" t="s">
        <v>227</v>
      </c>
      <c r="G15" s="34">
        <v>2</v>
      </c>
      <c r="H15" s="36">
        <v>1</v>
      </c>
      <c r="I15" s="37" t="s">
        <v>227</v>
      </c>
      <c r="J15" s="36" t="s">
        <v>227</v>
      </c>
      <c r="K15" s="36" t="s">
        <v>227</v>
      </c>
    </row>
    <row r="16" ht="15.6" spans="1:14">
      <c r="A16" s="36">
        <v>15</v>
      </c>
      <c r="B16" s="39"/>
      <c r="C16" s="40"/>
      <c r="D16" s="33" t="s">
        <v>19</v>
      </c>
      <c r="E16" s="36" t="s">
        <v>227</v>
      </c>
      <c r="F16" s="36" t="s">
        <v>227</v>
      </c>
      <c r="G16" s="34">
        <v>1</v>
      </c>
      <c r="H16" s="36">
        <v>0</v>
      </c>
      <c r="I16" s="37" t="s">
        <v>227</v>
      </c>
      <c r="J16" s="36" t="s">
        <v>227</v>
      </c>
      <c r="K16" s="36" t="s">
        <v>227</v>
      </c>
      <c r="M16">
        <v>6</v>
      </c>
      <c r="N16">
        <v>5</v>
      </c>
    </row>
    <row r="17" ht="15.6" spans="1:14">
      <c r="A17" s="36">
        <v>16</v>
      </c>
      <c r="B17" s="39"/>
      <c r="C17" s="40"/>
      <c r="D17" s="33" t="s">
        <v>20</v>
      </c>
      <c r="E17" s="36" t="s">
        <v>227</v>
      </c>
      <c r="F17" s="36" t="s">
        <v>227</v>
      </c>
      <c r="G17" s="34">
        <v>2</v>
      </c>
      <c r="H17" s="36">
        <v>1</v>
      </c>
      <c r="I17" s="37" t="s">
        <v>227</v>
      </c>
      <c r="J17" s="36" t="s">
        <v>227</v>
      </c>
      <c r="K17" s="36" t="s">
        <v>227</v>
      </c>
    </row>
    <row r="18" ht="15.6" spans="1:14">
      <c r="A18" s="36">
        <v>17</v>
      </c>
      <c r="B18" s="39"/>
      <c r="C18" s="40"/>
      <c r="D18" s="33" t="s">
        <v>21</v>
      </c>
      <c r="E18" s="36" t="s">
        <v>227</v>
      </c>
      <c r="F18" s="36" t="s">
        <v>227</v>
      </c>
      <c r="G18" s="34">
        <v>0</v>
      </c>
      <c r="H18" s="36">
        <v>1</v>
      </c>
      <c r="I18" s="37" t="s">
        <v>227</v>
      </c>
      <c r="J18" s="36" t="s">
        <v>227</v>
      </c>
      <c r="K18" s="36" t="s">
        <v>227</v>
      </c>
    </row>
    <row r="19" ht="15.6" spans="1:14">
      <c r="A19" s="36">
        <v>18</v>
      </c>
      <c r="B19" s="39"/>
      <c r="C19" s="40"/>
      <c r="D19" s="33" t="s">
        <v>22</v>
      </c>
      <c r="E19" s="36" t="s">
        <v>227</v>
      </c>
      <c r="F19" s="36" t="s">
        <v>227</v>
      </c>
      <c r="G19" s="34">
        <v>1</v>
      </c>
      <c r="H19" s="36">
        <v>1</v>
      </c>
      <c r="I19" s="37" t="s">
        <v>227</v>
      </c>
      <c r="J19" s="36" t="s">
        <v>227</v>
      </c>
      <c r="K19" s="36" t="s">
        <v>227</v>
      </c>
    </row>
    <row r="20" spans="1:14">
      <c r="A20" s="36">
        <v>19</v>
      </c>
      <c r="B20" s="39"/>
      <c r="C20" s="40"/>
      <c r="D20" s="36" t="s">
        <v>229</v>
      </c>
      <c r="E20" s="36" t="s">
        <v>239</v>
      </c>
      <c r="F20" s="36" t="s">
        <v>142</v>
      </c>
      <c r="G20" s="34" t="s">
        <v>227</v>
      </c>
      <c r="H20" s="36" t="s">
        <v>227</v>
      </c>
      <c r="I20" s="37">
        <v>9</v>
      </c>
      <c r="J20" s="36">
        <v>2</v>
      </c>
      <c r="K20" s="36" t="s">
        <v>227</v>
      </c>
    </row>
    <row r="21" spans="1:14">
      <c r="A21" s="36">
        <v>20</v>
      </c>
      <c r="B21" s="39"/>
      <c r="C21" s="40"/>
      <c r="D21" s="36" t="s">
        <v>231</v>
      </c>
      <c r="E21" s="36" t="s">
        <v>240</v>
      </c>
      <c r="F21" s="36" t="s">
        <v>171</v>
      </c>
      <c r="G21" s="34" t="s">
        <v>227</v>
      </c>
      <c r="H21" s="36" t="s">
        <v>227</v>
      </c>
      <c r="I21" s="37">
        <v>7</v>
      </c>
      <c r="J21" s="36">
        <v>4</v>
      </c>
      <c r="K21" s="36" t="s">
        <v>227</v>
      </c>
    </row>
    <row r="22" ht="57.6" spans="1:14">
      <c r="A22" s="36">
        <v>21</v>
      </c>
      <c r="B22" s="39"/>
      <c r="C22" s="40"/>
      <c r="D22" s="36" t="s">
        <v>233</v>
      </c>
      <c r="E22" s="36" t="s">
        <v>227</v>
      </c>
      <c r="F22" s="38" t="s">
        <v>234</v>
      </c>
      <c r="G22" s="36" t="s">
        <v>227</v>
      </c>
      <c r="H22" s="36" t="s">
        <v>227</v>
      </c>
      <c r="I22" s="36" t="s">
        <v>227</v>
      </c>
      <c r="J22" s="36" t="s">
        <v>227</v>
      </c>
      <c r="K22" s="36">
        <v>1</v>
      </c>
    </row>
    <row r="23" ht="57.6" spans="1:14">
      <c r="A23" s="36">
        <v>22</v>
      </c>
      <c r="B23" s="39"/>
      <c r="C23" s="40"/>
      <c r="D23" s="36" t="s">
        <v>235</v>
      </c>
      <c r="E23" s="36" t="s">
        <v>227</v>
      </c>
      <c r="F23" s="38" t="s">
        <v>241</v>
      </c>
      <c r="G23" s="36" t="s">
        <v>227</v>
      </c>
      <c r="H23" s="36" t="s">
        <v>227</v>
      </c>
      <c r="I23" s="36" t="s">
        <v>227</v>
      </c>
      <c r="J23" s="36" t="s">
        <v>227</v>
      </c>
      <c r="K23" s="36">
        <v>2</v>
      </c>
    </row>
    <row r="24" ht="28.8" spans="1:14">
      <c r="A24" s="36">
        <v>45</v>
      </c>
      <c r="B24" s="35" t="s">
        <v>242</v>
      </c>
      <c r="C24" s="36" t="s">
        <v>243</v>
      </c>
      <c r="D24" s="37" t="s">
        <v>226</v>
      </c>
      <c r="E24" s="36" t="s">
        <v>227</v>
      </c>
      <c r="F24" s="38" t="s">
        <v>244</v>
      </c>
      <c r="G24" s="36" t="s">
        <v>227</v>
      </c>
      <c r="H24" s="36" t="s">
        <v>227</v>
      </c>
      <c r="I24" s="36" t="s">
        <v>227</v>
      </c>
      <c r="J24" s="36" t="s">
        <v>227</v>
      </c>
      <c r="K24" s="36">
        <v>25</v>
      </c>
    </row>
    <row r="25" ht="15.6" spans="1:14">
      <c r="A25" s="36">
        <v>46</v>
      </c>
      <c r="B25" s="35"/>
      <c r="C25" s="36"/>
      <c r="D25" s="32" t="s">
        <v>15</v>
      </c>
      <c r="E25" s="36" t="s">
        <v>227</v>
      </c>
      <c r="F25" s="36" t="s">
        <v>227</v>
      </c>
      <c r="G25" s="36">
        <v>2</v>
      </c>
      <c r="H25" s="36">
        <v>0</v>
      </c>
      <c r="I25" s="36" t="s">
        <v>227</v>
      </c>
      <c r="J25" s="36" t="s">
        <v>227</v>
      </c>
      <c r="K25" s="36" t="s">
        <v>227</v>
      </c>
      <c r="M25">
        <v>8</v>
      </c>
      <c r="N25">
        <v>4</v>
      </c>
    </row>
    <row r="26" ht="15.6" spans="1:14">
      <c r="A26" s="36">
        <v>47</v>
      </c>
      <c r="B26" s="35"/>
      <c r="C26" s="36"/>
      <c r="D26" s="32" t="s">
        <v>18</v>
      </c>
      <c r="E26" s="36" t="s">
        <v>227</v>
      </c>
      <c r="F26" s="36" t="s">
        <v>227</v>
      </c>
      <c r="G26" s="34">
        <v>2</v>
      </c>
      <c r="H26" s="36">
        <v>0</v>
      </c>
      <c r="I26" s="37" t="s">
        <v>227</v>
      </c>
      <c r="J26" s="36" t="s">
        <v>227</v>
      </c>
      <c r="K26" s="36" t="s">
        <v>227</v>
      </c>
    </row>
    <row r="27" ht="15.6" spans="1:14">
      <c r="A27" s="36">
        <v>48</v>
      </c>
      <c r="B27" s="35"/>
      <c r="C27" s="36"/>
      <c r="D27" s="32" t="s">
        <v>19</v>
      </c>
      <c r="E27" s="36" t="s">
        <v>227</v>
      </c>
      <c r="F27" s="36" t="s">
        <v>227</v>
      </c>
      <c r="G27" s="34">
        <v>1</v>
      </c>
      <c r="H27" s="36">
        <v>1</v>
      </c>
      <c r="I27" s="37" t="s">
        <v>227</v>
      </c>
      <c r="J27" s="36" t="s">
        <v>227</v>
      </c>
      <c r="K27" s="36" t="s">
        <v>227</v>
      </c>
    </row>
    <row r="28" ht="15.6" spans="1:14">
      <c r="A28" s="36">
        <v>49</v>
      </c>
      <c r="B28" s="35"/>
      <c r="C28" s="36"/>
      <c r="D28" s="32" t="s">
        <v>20</v>
      </c>
      <c r="E28" s="36" t="s">
        <v>227</v>
      </c>
      <c r="F28" s="36" t="s">
        <v>227</v>
      </c>
      <c r="G28" s="34">
        <v>1</v>
      </c>
      <c r="H28" s="36">
        <v>1</v>
      </c>
      <c r="I28" s="37" t="s">
        <v>227</v>
      </c>
      <c r="J28" s="36" t="s">
        <v>227</v>
      </c>
      <c r="K28" s="36" t="s">
        <v>227</v>
      </c>
    </row>
    <row r="29" ht="15.6" spans="1:14">
      <c r="A29" s="36">
        <v>50</v>
      </c>
      <c r="B29" s="35"/>
      <c r="C29" s="36"/>
      <c r="D29" s="32" t="s">
        <v>21</v>
      </c>
      <c r="E29" s="36" t="s">
        <v>227</v>
      </c>
      <c r="F29" s="36" t="s">
        <v>227</v>
      </c>
      <c r="G29" s="34">
        <v>1</v>
      </c>
      <c r="H29" s="36">
        <v>1</v>
      </c>
      <c r="I29" s="37" t="s">
        <v>227</v>
      </c>
      <c r="J29" s="36" t="s">
        <v>227</v>
      </c>
      <c r="K29" s="36" t="s">
        <v>227</v>
      </c>
    </row>
    <row r="30" ht="15.6" spans="1:14">
      <c r="A30" s="36">
        <v>51</v>
      </c>
      <c r="B30" s="35"/>
      <c r="C30" s="36"/>
      <c r="D30" s="32" t="s">
        <v>22</v>
      </c>
      <c r="E30" s="36" t="s">
        <v>227</v>
      </c>
      <c r="F30" s="36" t="s">
        <v>227</v>
      </c>
      <c r="G30" s="34">
        <v>1</v>
      </c>
      <c r="H30" s="36">
        <v>1</v>
      </c>
      <c r="I30" s="37" t="s">
        <v>227</v>
      </c>
      <c r="J30" s="36" t="s">
        <v>227</v>
      </c>
      <c r="K30" s="36" t="s">
        <v>227</v>
      </c>
    </row>
    <row r="31" spans="1:14">
      <c r="A31" s="36">
        <v>52</v>
      </c>
      <c r="B31" s="35"/>
      <c r="C31" s="36"/>
      <c r="D31" s="37" t="s">
        <v>229</v>
      </c>
      <c r="E31" s="36" t="s">
        <v>245</v>
      </c>
      <c r="F31" s="36" t="s">
        <v>171</v>
      </c>
      <c r="G31" s="34" t="s">
        <v>227</v>
      </c>
      <c r="H31" s="36" t="s">
        <v>227</v>
      </c>
      <c r="I31" s="37">
        <v>6</v>
      </c>
      <c r="J31" s="36">
        <v>5</v>
      </c>
      <c r="K31" s="36" t="s">
        <v>227</v>
      </c>
    </row>
    <row r="32" spans="1:14">
      <c r="A32" s="36">
        <v>53</v>
      </c>
      <c r="B32" s="35"/>
      <c r="C32" s="36"/>
      <c r="D32" s="37" t="s">
        <v>231</v>
      </c>
      <c r="E32" s="36" t="s">
        <v>246</v>
      </c>
      <c r="F32" s="36" t="s">
        <v>171</v>
      </c>
      <c r="G32" s="34" t="s">
        <v>227</v>
      </c>
      <c r="H32" s="36" t="s">
        <v>227</v>
      </c>
      <c r="I32" s="37">
        <v>8</v>
      </c>
      <c r="J32" s="36">
        <v>4</v>
      </c>
      <c r="K32" s="36" t="s">
        <v>227</v>
      </c>
    </row>
    <row r="33" ht="72" spans="1:14">
      <c r="A33" s="36">
        <v>54</v>
      </c>
      <c r="B33" s="35"/>
      <c r="C33" s="36"/>
      <c r="D33" s="37" t="s">
        <v>233</v>
      </c>
      <c r="E33" s="36" t="s">
        <v>227</v>
      </c>
      <c r="F33" s="38" t="s">
        <v>247</v>
      </c>
      <c r="G33" s="36" t="s">
        <v>227</v>
      </c>
      <c r="H33" s="36" t="s">
        <v>227</v>
      </c>
      <c r="I33" s="36" t="s">
        <v>227</v>
      </c>
      <c r="J33" s="36" t="s">
        <v>227</v>
      </c>
      <c r="K33" s="36">
        <v>1</v>
      </c>
    </row>
    <row r="34" ht="72" spans="1:14">
      <c r="A34" s="36">
        <v>55</v>
      </c>
      <c r="B34" s="35"/>
      <c r="C34" s="36"/>
      <c r="D34" s="37" t="s">
        <v>235</v>
      </c>
      <c r="E34" s="36" t="s">
        <v>227</v>
      </c>
      <c r="F34" s="38" t="s">
        <v>248</v>
      </c>
      <c r="G34" s="36" t="s">
        <v>227</v>
      </c>
      <c r="H34" s="36" t="s">
        <v>227</v>
      </c>
      <c r="I34" s="36" t="s">
        <v>227</v>
      </c>
      <c r="J34" s="36" t="s">
        <v>227</v>
      </c>
      <c r="K34" s="36">
        <v>2</v>
      </c>
    </row>
    <row r="35" ht="28.8" spans="1:14">
      <c r="A35" s="36">
        <v>56</v>
      </c>
      <c r="B35" s="39" t="s">
        <v>249</v>
      </c>
      <c r="C35" s="40" t="s">
        <v>250</v>
      </c>
      <c r="D35" s="36" t="s">
        <v>226</v>
      </c>
      <c r="E35" s="36" t="s">
        <v>227</v>
      </c>
      <c r="F35" s="38" t="s">
        <v>251</v>
      </c>
      <c r="G35" s="36" t="s">
        <v>227</v>
      </c>
      <c r="H35" s="36" t="s">
        <v>227</v>
      </c>
      <c r="I35" s="36" t="s">
        <v>227</v>
      </c>
      <c r="J35" s="36" t="s">
        <v>227</v>
      </c>
      <c r="K35" s="36">
        <v>25</v>
      </c>
    </row>
    <row r="36" ht="15.6" spans="1:14">
      <c r="A36" s="36">
        <v>57</v>
      </c>
      <c r="B36" s="39"/>
      <c r="C36" s="40"/>
      <c r="D36" s="33" t="s">
        <v>15</v>
      </c>
      <c r="E36" s="36" t="s">
        <v>227</v>
      </c>
      <c r="F36" s="36" t="s">
        <v>227</v>
      </c>
      <c r="G36" s="36">
        <v>1</v>
      </c>
      <c r="H36" s="36">
        <v>1</v>
      </c>
      <c r="I36" s="36" t="s">
        <v>227</v>
      </c>
      <c r="J36" s="36" t="s">
        <v>227</v>
      </c>
      <c r="K36" s="36" t="s">
        <v>227</v>
      </c>
      <c r="M36">
        <v>6</v>
      </c>
      <c r="N36">
        <v>6</v>
      </c>
    </row>
    <row r="37" ht="15.6" spans="1:14">
      <c r="A37" s="36">
        <v>58</v>
      </c>
      <c r="B37" s="39"/>
      <c r="C37" s="40"/>
      <c r="D37" s="33" t="s">
        <v>18</v>
      </c>
      <c r="E37" s="36" t="s">
        <v>227</v>
      </c>
      <c r="F37" s="36" t="s">
        <v>227</v>
      </c>
      <c r="G37" s="34">
        <v>1</v>
      </c>
      <c r="H37" s="36">
        <v>1</v>
      </c>
      <c r="I37" s="37" t="s">
        <v>227</v>
      </c>
      <c r="J37" s="36" t="s">
        <v>227</v>
      </c>
      <c r="K37" s="36" t="s">
        <v>227</v>
      </c>
    </row>
    <row r="38" ht="15.6" spans="1:14">
      <c r="A38" s="36">
        <v>59</v>
      </c>
      <c r="B38" s="39"/>
      <c r="C38" s="40"/>
      <c r="D38" s="33" t="s">
        <v>19</v>
      </c>
      <c r="E38" s="36" t="s">
        <v>227</v>
      </c>
      <c r="F38" s="36" t="s">
        <v>227</v>
      </c>
      <c r="G38" s="34">
        <v>1</v>
      </c>
      <c r="H38" s="36">
        <v>2</v>
      </c>
      <c r="I38" s="37" t="s">
        <v>227</v>
      </c>
      <c r="J38" s="36" t="s">
        <v>227</v>
      </c>
      <c r="K38" s="36" t="s">
        <v>227</v>
      </c>
    </row>
    <row r="39" ht="15.6" spans="1:14">
      <c r="A39" s="36">
        <v>60</v>
      </c>
      <c r="B39" s="39"/>
      <c r="C39" s="40"/>
      <c r="D39" s="33" t="s">
        <v>20</v>
      </c>
      <c r="E39" s="36" t="s">
        <v>227</v>
      </c>
      <c r="F39" s="36" t="s">
        <v>227</v>
      </c>
      <c r="G39" s="34">
        <v>1</v>
      </c>
      <c r="H39" s="36">
        <v>2</v>
      </c>
      <c r="I39" s="37" t="s">
        <v>227</v>
      </c>
      <c r="J39" s="36" t="s">
        <v>227</v>
      </c>
      <c r="K39" s="36" t="s">
        <v>227</v>
      </c>
    </row>
    <row r="40" ht="15.6" spans="1:14">
      <c r="A40" s="36">
        <v>61</v>
      </c>
      <c r="B40" s="39"/>
      <c r="C40" s="40"/>
      <c r="D40" s="33" t="s">
        <v>21</v>
      </c>
      <c r="E40" s="36" t="s">
        <v>227</v>
      </c>
      <c r="F40" s="36" t="s">
        <v>227</v>
      </c>
      <c r="G40" s="34">
        <v>1</v>
      </c>
      <c r="H40" s="36">
        <v>0</v>
      </c>
      <c r="I40" s="37" t="s">
        <v>227</v>
      </c>
      <c r="J40" s="36" t="s">
        <v>227</v>
      </c>
      <c r="K40" s="36" t="s">
        <v>227</v>
      </c>
    </row>
    <row r="41" ht="15.6" spans="1:14">
      <c r="A41" s="36">
        <v>62</v>
      </c>
      <c r="B41" s="39"/>
      <c r="C41" s="40"/>
      <c r="D41" s="33" t="s">
        <v>22</v>
      </c>
      <c r="E41" s="36" t="s">
        <v>227</v>
      </c>
      <c r="F41" s="36" t="s">
        <v>227</v>
      </c>
      <c r="G41" s="34">
        <v>1</v>
      </c>
      <c r="H41" s="36">
        <v>0</v>
      </c>
      <c r="I41" s="37" t="s">
        <v>227</v>
      </c>
      <c r="J41" s="36" t="s">
        <v>227</v>
      </c>
      <c r="K41" s="36" t="s">
        <v>227</v>
      </c>
    </row>
    <row r="42" spans="1:14">
      <c r="A42" s="36">
        <v>63</v>
      </c>
      <c r="B42" s="39"/>
      <c r="C42" s="40"/>
      <c r="D42" s="36" t="s">
        <v>229</v>
      </c>
      <c r="E42" s="36" t="s">
        <v>252</v>
      </c>
      <c r="F42" s="36" t="s">
        <v>142</v>
      </c>
      <c r="G42" s="34" t="s">
        <v>227</v>
      </c>
      <c r="H42" s="36" t="s">
        <v>227</v>
      </c>
      <c r="I42" s="37">
        <v>10</v>
      </c>
      <c r="J42" s="36">
        <v>3</v>
      </c>
      <c r="K42" s="36" t="s">
        <v>227</v>
      </c>
    </row>
    <row r="43" spans="1:14">
      <c r="A43" s="36">
        <v>64</v>
      </c>
      <c r="B43" s="39"/>
      <c r="C43" s="40"/>
      <c r="D43" s="36" t="s">
        <v>231</v>
      </c>
      <c r="E43" s="36" t="s">
        <v>253</v>
      </c>
      <c r="F43" s="36" t="s">
        <v>142</v>
      </c>
      <c r="G43" s="34" t="s">
        <v>227</v>
      </c>
      <c r="H43" s="36" t="s">
        <v>227</v>
      </c>
      <c r="I43" s="37">
        <v>12</v>
      </c>
      <c r="J43" s="36">
        <v>2</v>
      </c>
      <c r="K43" s="36" t="s">
        <v>227</v>
      </c>
    </row>
    <row r="44" ht="72" spans="1:14">
      <c r="A44" s="36">
        <v>65</v>
      </c>
      <c r="B44" s="39"/>
      <c r="C44" s="40"/>
      <c r="D44" s="36" t="s">
        <v>233</v>
      </c>
      <c r="E44" s="36" t="s">
        <v>227</v>
      </c>
      <c r="F44" s="38" t="s">
        <v>247</v>
      </c>
      <c r="G44" s="36" t="s">
        <v>227</v>
      </c>
      <c r="H44" s="36" t="s">
        <v>227</v>
      </c>
      <c r="I44" s="36" t="s">
        <v>227</v>
      </c>
      <c r="J44" s="36" t="s">
        <v>227</v>
      </c>
      <c r="K44" s="36">
        <v>1</v>
      </c>
    </row>
    <row r="45" ht="72" spans="1:14">
      <c r="A45" s="36">
        <v>66</v>
      </c>
      <c r="B45" s="39"/>
      <c r="C45" s="40"/>
      <c r="D45" s="36" t="s">
        <v>235</v>
      </c>
      <c r="E45" s="36" t="s">
        <v>227</v>
      </c>
      <c r="F45" s="38" t="s">
        <v>248</v>
      </c>
      <c r="G45" s="36" t="s">
        <v>227</v>
      </c>
      <c r="H45" s="36" t="s">
        <v>227</v>
      </c>
      <c r="I45" s="36" t="s">
        <v>227</v>
      </c>
      <c r="J45" s="36" t="s">
        <v>227</v>
      </c>
      <c r="K45" s="36">
        <v>2</v>
      </c>
    </row>
  </sheetData>
  <mergeCells count="8">
    <mergeCell ref="B2:B12"/>
    <mergeCell ref="B13:B23"/>
    <mergeCell ref="B24:B34"/>
    <mergeCell ref="B35:B45"/>
    <mergeCell ref="C2:C12"/>
    <mergeCell ref="C13:C23"/>
    <mergeCell ref="C24:C34"/>
    <mergeCell ref="C35:C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pane ySplit="1" topLeftCell="A19" activePane="bottomLeft" state="frozen"/>
      <selection/>
      <selection pane="bottomLeft" activeCell="H41" sqref="H41"/>
    </sheetView>
  </sheetViews>
  <sheetFormatPr defaultColWidth="9" defaultRowHeight="14.4" outlineLevelCol="6"/>
  <cols>
    <col min="1" max="1" width="17.4444444444444" style="1" customWidth="1"/>
    <col min="2" max="2" width="8.55555555555556" customWidth="1"/>
    <col min="6" max="6" width="13" customWidth="1"/>
    <col min="7" max="7" width="16.5555555555556" customWidth="1"/>
  </cols>
  <sheetData>
    <row r="1" ht="16.2" spans="1:7">
      <c r="A1" s="26" t="s">
        <v>15</v>
      </c>
      <c r="B1" s="26" t="s">
        <v>6</v>
      </c>
      <c r="C1" s="26" t="s">
        <v>7</v>
      </c>
      <c r="D1" s="26" t="s">
        <v>8</v>
      </c>
      <c r="E1" s="26" t="s">
        <v>9</v>
      </c>
      <c r="F1" s="5" t="s">
        <v>254</v>
      </c>
      <c r="G1" s="5" t="s">
        <v>255</v>
      </c>
    </row>
    <row r="2" ht="16.2" spans="1:7">
      <c r="A2" s="9" t="s">
        <v>14</v>
      </c>
      <c r="B2" s="9" cm="1">
        <f ca="1" t="array" ref="B2">INDIRECT("装备牌部件!G"&amp;(ROW()-2)*6+2)</f>
        <v>2</v>
      </c>
      <c r="C2" s="9" cm="1">
        <f ca="1" t="array" ref="C2">INDIRECT("装备牌部件!H"&amp;(ROW()-2)*6+2)</f>
        <v>0</v>
      </c>
      <c r="D2" s="9" cm="1">
        <f ca="1" t="array" ref="D2">INDIRECT("装备牌部件!I"&amp;(ROW()-2)*6+2)</f>
        <v>2</v>
      </c>
      <c r="E2" s="9" cm="1">
        <f ca="1" t="array" ref="E2">INDIRECT("装备牌部件!J"&amp;(ROW()-2)*6+2)</f>
        <v>2</v>
      </c>
      <c r="F2" s="9">
        <f ca="1" t="shared" ref="F2:F22" si="0">B2+C2</f>
        <v>2</v>
      </c>
      <c r="G2" s="9">
        <f ca="1" t="shared" ref="G2:G22" si="1">C2+D2</f>
        <v>2</v>
      </c>
    </row>
    <row r="3" ht="16.2" spans="1:7">
      <c r="A3" s="9" t="s">
        <v>23</v>
      </c>
      <c r="B3" s="9" cm="1">
        <f ca="1" t="array" ref="B3">INDIRECT("装备牌部件!G"&amp;(ROW()-2)*6+2)</f>
        <v>0</v>
      </c>
      <c r="C3" s="9" cm="1">
        <f ca="1" t="array" ref="C3">INDIRECT("装备牌部件!H"&amp;(ROW()-2)*6+2)</f>
        <v>1</v>
      </c>
      <c r="D3" s="9" cm="1">
        <f ca="1" t="array" ref="D3">INDIRECT("装备牌部件!I"&amp;(ROW()-2)*6+2)</f>
        <v>2</v>
      </c>
      <c r="E3" s="9" cm="1">
        <f ca="1" t="array" ref="E3">INDIRECT("装备牌部件!J"&amp;(ROW()-2)*6+2)</f>
        <v>2</v>
      </c>
      <c r="F3" s="9">
        <f ca="1" t="shared" si="0"/>
        <v>1</v>
      </c>
      <c r="G3" s="9">
        <f ca="1" t="shared" si="1"/>
        <v>3</v>
      </c>
    </row>
    <row r="4" ht="16.2" spans="1:7">
      <c r="A4" s="9" t="s">
        <v>30</v>
      </c>
      <c r="B4" s="9" cm="1">
        <f ca="1" t="array" ref="B4">INDIRECT("装备牌部件!G"&amp;(ROW()-2)*6+2)</f>
        <v>1</v>
      </c>
      <c r="C4" s="9" cm="1">
        <f ca="1" t="array" ref="C4">INDIRECT("装备牌部件!H"&amp;(ROW()-2)*6+2)</f>
        <v>0</v>
      </c>
      <c r="D4" s="9" cm="1">
        <f ca="1" t="array" ref="D4">INDIRECT("装备牌部件!I"&amp;(ROW()-2)*6+2)</f>
        <v>2</v>
      </c>
      <c r="E4" s="9" cm="1">
        <f ca="1" t="array" ref="E4">INDIRECT("装备牌部件!J"&amp;(ROW()-2)*6+2)</f>
        <v>2</v>
      </c>
      <c r="F4" s="9">
        <f ca="1" t="shared" si="0"/>
        <v>1</v>
      </c>
      <c r="G4" s="9">
        <f ca="1" t="shared" si="1"/>
        <v>2</v>
      </c>
    </row>
    <row r="5" ht="16.2" spans="1:7">
      <c r="A5" s="9" t="s">
        <v>37</v>
      </c>
      <c r="B5" s="9" cm="1">
        <f ca="1" t="array" ref="B5">INDIRECT("装备牌部件!G"&amp;(ROW()-2)*6+2)</f>
        <v>1</v>
      </c>
      <c r="C5" s="9" cm="1">
        <f ca="1" t="array" ref="C5">INDIRECT("装备牌部件!H"&amp;(ROW()-2)*6+2)</f>
        <v>1</v>
      </c>
      <c r="D5" s="9" cm="1">
        <f ca="1" t="array" ref="D5">INDIRECT("装备牌部件!I"&amp;(ROW()-2)*6+2)</f>
        <v>2</v>
      </c>
      <c r="E5" s="9" cm="1">
        <f ca="1" t="array" ref="E5">INDIRECT("装备牌部件!J"&amp;(ROW()-2)*6+2)</f>
        <v>2</v>
      </c>
      <c r="F5" s="9">
        <f ca="1" t="shared" si="0"/>
        <v>2</v>
      </c>
      <c r="G5" s="9">
        <f ca="1" t="shared" si="1"/>
        <v>3</v>
      </c>
    </row>
    <row r="6" ht="16.2" spans="1:7">
      <c r="A6" s="9" t="s">
        <v>41</v>
      </c>
      <c r="B6" s="9" cm="1">
        <f ca="1" t="array" ref="B6">INDIRECT("装备牌部件!G"&amp;(ROW()-2)*6+2)</f>
        <v>1</v>
      </c>
      <c r="C6" s="9" cm="1">
        <f ca="1" t="array" ref="C6">INDIRECT("装备牌部件!H"&amp;(ROW()-2)*6+2)</f>
        <v>0</v>
      </c>
      <c r="D6" s="9" cm="1">
        <f ca="1" t="array" ref="D6">INDIRECT("装备牌部件!I"&amp;(ROW()-2)*6+2)</f>
        <v>1</v>
      </c>
      <c r="E6" s="9" cm="1">
        <f ca="1" t="array" ref="E6">INDIRECT("装备牌部件!J"&amp;(ROW()-2)*6+2)</f>
        <v>1</v>
      </c>
      <c r="F6" s="9">
        <f ca="1" t="shared" si="0"/>
        <v>1</v>
      </c>
      <c r="G6" s="9">
        <f ca="1" t="shared" si="1"/>
        <v>1</v>
      </c>
    </row>
    <row r="7" ht="16.2" spans="1:7">
      <c r="A7" s="9" t="s">
        <v>47</v>
      </c>
      <c r="B7" s="9" cm="1">
        <f ca="1" t="array" ref="B7">INDIRECT("装备牌部件!G"&amp;(ROW()-2)*6+2)</f>
        <v>3</v>
      </c>
      <c r="C7" s="9" cm="1">
        <f ca="1" t="array" ref="C7">INDIRECT("装备牌部件!H"&amp;(ROW()-2)*6+2)</f>
        <v>0</v>
      </c>
      <c r="D7" s="9" cm="1">
        <f ca="1" t="array" ref="D7">INDIRECT("装备牌部件!I"&amp;(ROW()-2)*6+2)</f>
        <v>3</v>
      </c>
      <c r="E7" s="9" cm="1">
        <f ca="1" t="array" ref="E7">INDIRECT("装备牌部件!J"&amp;(ROW()-2)*6+2)</f>
        <v>4</v>
      </c>
      <c r="F7" s="9">
        <f ca="1" t="shared" si="0"/>
        <v>3</v>
      </c>
      <c r="G7" s="9">
        <f ca="1" t="shared" si="1"/>
        <v>3</v>
      </c>
    </row>
    <row r="8" ht="16.2" spans="1:7">
      <c r="A8" s="9" t="s">
        <v>54</v>
      </c>
      <c r="B8" s="9" cm="1">
        <f ca="1" t="array" ref="B8">INDIRECT("装备牌部件!G"&amp;(ROW()-2)*6+2)</f>
        <v>0</v>
      </c>
      <c r="C8" s="9" cm="1">
        <f ca="1" t="array" ref="C8">INDIRECT("装备牌部件!H"&amp;(ROW()-2)*6+2)</f>
        <v>1</v>
      </c>
      <c r="D8" s="9" cm="1">
        <f ca="1" t="array" ref="D8">INDIRECT("装备牌部件!I"&amp;(ROW()-2)*6+2)</f>
        <v>2</v>
      </c>
      <c r="E8" s="9" cm="1">
        <f ca="1" t="array" ref="E8">INDIRECT("装备牌部件!J"&amp;(ROW()-2)*6+2)</f>
        <v>2</v>
      </c>
      <c r="F8" s="9">
        <f ca="1" t="shared" si="0"/>
        <v>1</v>
      </c>
      <c r="G8" s="9">
        <f ca="1" t="shared" si="1"/>
        <v>3</v>
      </c>
    </row>
    <row r="9" ht="16.2" spans="1:7">
      <c r="A9" s="28" t="s">
        <v>59</v>
      </c>
      <c r="B9" s="13" cm="1">
        <f ca="1" t="array" ref="B9">INDIRECT("装备牌部件!G"&amp;(ROW()-2)*6+2)</f>
        <v>2</v>
      </c>
      <c r="C9" s="13" cm="1">
        <f ca="1" t="array" ref="C9">INDIRECT("装备牌部件!H"&amp;(ROW()-2)*6+2)</f>
        <v>1</v>
      </c>
      <c r="D9" s="13" cm="1">
        <f ca="1" t="array" ref="D9">INDIRECT("装备牌部件!I"&amp;(ROW()-2)*6+2)</f>
        <v>3</v>
      </c>
      <c r="E9" s="13" cm="1">
        <f ca="1" t="array" ref="E9">INDIRECT("装备牌部件!J"&amp;(ROW()-2)*6+2)</f>
        <v>3</v>
      </c>
      <c r="F9" s="13">
        <f ca="1" t="shared" si="0"/>
        <v>3</v>
      </c>
      <c r="G9" s="13">
        <f ca="1" t="shared" si="1"/>
        <v>4</v>
      </c>
    </row>
    <row r="10" ht="16.2" spans="1:7">
      <c r="A10" s="28" t="s">
        <v>63</v>
      </c>
      <c r="B10" s="13" cm="1">
        <f ca="1" t="array" ref="B10">INDIRECT("装备牌部件!G"&amp;(ROW()-2)*6+2)</f>
        <v>1</v>
      </c>
      <c r="C10" s="13" cm="1">
        <f ca="1" t="array" ref="C10">INDIRECT("装备牌部件!H"&amp;(ROW()-2)*6+2)</f>
        <v>1</v>
      </c>
      <c r="D10" s="13" cm="1">
        <f ca="1" t="array" ref="D10">INDIRECT("装备牌部件!I"&amp;(ROW()-2)*6+2)</f>
        <v>3</v>
      </c>
      <c r="E10" s="13" cm="1">
        <f ca="1" t="array" ref="E10">INDIRECT("装备牌部件!J"&amp;(ROW()-2)*6+2)</f>
        <v>3</v>
      </c>
      <c r="F10" s="13">
        <f ca="1" t="shared" si="0"/>
        <v>2</v>
      </c>
      <c r="G10" s="13">
        <f ca="1" t="shared" si="1"/>
        <v>4</v>
      </c>
    </row>
    <row r="11" ht="16.2" spans="1:7">
      <c r="A11" s="28" t="s">
        <v>69</v>
      </c>
      <c r="B11" s="13" cm="1">
        <f ca="1" t="array" ref="B11">INDIRECT("装备牌部件!G"&amp;(ROW()-2)*6+2)</f>
        <v>1</v>
      </c>
      <c r="C11" s="13" cm="1">
        <f ca="1" t="array" ref="C11">INDIRECT("装备牌部件!H"&amp;(ROW()-2)*6+2)</f>
        <v>1</v>
      </c>
      <c r="D11" s="13" cm="1">
        <f ca="1" t="array" ref="D11">INDIRECT("装备牌部件!I"&amp;(ROW()-2)*6+2)</f>
        <v>3</v>
      </c>
      <c r="E11" s="13" cm="1">
        <f ca="1" t="array" ref="E11">INDIRECT("装备牌部件!J"&amp;(ROW()-2)*6+2)</f>
        <v>3</v>
      </c>
      <c r="F11" s="13">
        <f ca="1" t="shared" si="0"/>
        <v>2</v>
      </c>
      <c r="G11" s="13">
        <f ca="1" t="shared" si="1"/>
        <v>4</v>
      </c>
    </row>
    <row r="12" ht="16.2" spans="1:7">
      <c r="A12" s="28" t="s">
        <v>75</v>
      </c>
      <c r="B12" s="13" cm="1">
        <f ca="1" t="array" ref="B12">INDIRECT("装备牌部件!G"&amp;(ROW()-2)*6+2)</f>
        <v>2</v>
      </c>
      <c r="C12" s="13" cm="1">
        <f ca="1" t="array" ref="C12">INDIRECT("装备牌部件!H"&amp;(ROW()-2)*6+2)</f>
        <v>1</v>
      </c>
      <c r="D12" s="13" cm="1">
        <f ca="1" t="array" ref="D12">INDIRECT("装备牌部件!I"&amp;(ROW()-2)*6+2)</f>
        <v>3</v>
      </c>
      <c r="E12" s="13" cm="1">
        <f ca="1" t="array" ref="E12">INDIRECT("装备牌部件!J"&amp;(ROW()-2)*6+2)</f>
        <v>3</v>
      </c>
      <c r="F12" s="13">
        <f ca="1" t="shared" si="0"/>
        <v>3</v>
      </c>
      <c r="G12" s="13">
        <f ca="1" t="shared" si="1"/>
        <v>4</v>
      </c>
    </row>
    <row r="13" ht="16.2" spans="1:7">
      <c r="A13" s="28" t="s">
        <v>79</v>
      </c>
      <c r="B13" s="13" cm="1">
        <f ca="1" t="array" ref="B13">INDIRECT("装备牌部件!G"&amp;(ROW()-2)*6+2)</f>
        <v>2</v>
      </c>
      <c r="C13" s="13" cm="1">
        <f ca="1" t="array" ref="C13">INDIRECT("装备牌部件!H"&amp;(ROW()-2)*6+2)</f>
        <v>0</v>
      </c>
      <c r="D13" s="13" cm="1">
        <f ca="1" t="array" ref="D13">INDIRECT("装备牌部件!I"&amp;(ROW()-2)*6+2)</f>
        <v>2</v>
      </c>
      <c r="E13" s="13" cm="1">
        <f ca="1" t="array" ref="E13">INDIRECT("装备牌部件!J"&amp;(ROW()-2)*6+2)</f>
        <v>2</v>
      </c>
      <c r="F13" s="13">
        <f ca="1" t="shared" si="0"/>
        <v>2</v>
      </c>
      <c r="G13" s="13">
        <f ca="1" t="shared" si="1"/>
        <v>2</v>
      </c>
    </row>
    <row r="14" ht="16.2" spans="1:7">
      <c r="A14" s="28" t="s">
        <v>256</v>
      </c>
      <c r="B14" s="13" cm="1">
        <f ca="1" t="array" ref="B14">INDIRECT("装备牌部件!G"&amp;(ROW()-2)*6+2)</f>
        <v>4</v>
      </c>
      <c r="C14" s="13" cm="1">
        <f ca="1" t="array" ref="C14">INDIRECT("装备牌部件!H"&amp;(ROW()-2)*6+2)</f>
        <v>0</v>
      </c>
      <c r="D14" s="13" cm="1">
        <f ca="1" t="array" ref="D14">INDIRECT("装备牌部件!I"&amp;(ROW()-2)*6+2)</f>
        <v>4</v>
      </c>
      <c r="E14" s="13" cm="1">
        <f ca="1" t="array" ref="E14">INDIRECT("装备牌部件!J"&amp;(ROW()-2)*6+2)</f>
        <v>5</v>
      </c>
      <c r="F14" s="13">
        <f ca="1" t="shared" si="0"/>
        <v>4</v>
      </c>
      <c r="G14" s="13">
        <f ca="1" t="shared" si="1"/>
        <v>4</v>
      </c>
    </row>
    <row r="15" ht="16.2" spans="1:7">
      <c r="A15" s="28" t="s">
        <v>257</v>
      </c>
      <c r="B15" s="13" cm="1">
        <f ca="1" t="array" ref="B15">INDIRECT("装备牌部件!G"&amp;(ROW()-2)*6+2)</f>
        <v>1</v>
      </c>
      <c r="C15" s="13" cm="1">
        <f ca="1" t="array" ref="C15">INDIRECT("装备牌部件!H"&amp;(ROW()-2)*6+2)</f>
        <v>1</v>
      </c>
      <c r="D15" s="13" cm="1">
        <f ca="1" t="array" ref="D15">INDIRECT("装备牌部件!I"&amp;(ROW()-2)*6+2)</f>
        <v>3</v>
      </c>
      <c r="E15" s="13" cm="1">
        <f ca="1" t="array" ref="E15">INDIRECT("装备牌部件!J"&amp;(ROW()-2)*6+2)</f>
        <v>3</v>
      </c>
      <c r="F15" s="13">
        <f ca="1" t="shared" si="0"/>
        <v>2</v>
      </c>
      <c r="G15" s="13">
        <f ca="1" t="shared" si="1"/>
        <v>4</v>
      </c>
    </row>
    <row r="16" ht="16.2" spans="1:7">
      <c r="A16" s="14" t="s">
        <v>98</v>
      </c>
      <c r="B16" s="14" cm="1">
        <f ca="1" t="array" ref="B16">INDIRECT("装备牌部件!G"&amp;(ROW()-2)*6+2)</f>
        <v>3</v>
      </c>
      <c r="C16" s="14" cm="1">
        <f ca="1" t="array" ref="C16">INDIRECT("装备牌部件!H"&amp;(ROW()-2)*6+2)</f>
        <v>1</v>
      </c>
      <c r="D16" s="14" cm="1">
        <f ca="1" t="array" ref="D16">INDIRECT("装备牌部件!I"&amp;(ROW()-2)*6+2)</f>
        <v>4</v>
      </c>
      <c r="E16" s="14" cm="1">
        <f ca="1" t="array" ref="E16">INDIRECT("装备牌部件!J"&amp;(ROW()-2)*6+2)</f>
        <v>4</v>
      </c>
      <c r="F16" s="14">
        <f ca="1" t="shared" si="0"/>
        <v>4</v>
      </c>
      <c r="G16" s="14">
        <f ca="1" t="shared" si="1"/>
        <v>5</v>
      </c>
    </row>
    <row r="17" ht="16.2" spans="1:7">
      <c r="A17" s="14" t="s">
        <v>103</v>
      </c>
      <c r="B17" s="14" cm="1">
        <f ca="1" t="array" ref="B17">INDIRECT("装备牌部件!G"&amp;(ROW()-2)*6+2)</f>
        <v>2</v>
      </c>
      <c r="C17" s="14" cm="1">
        <f ca="1" t="array" ref="C17">INDIRECT("装备牌部件!H"&amp;(ROW()-2)*6+2)</f>
        <v>1</v>
      </c>
      <c r="D17" s="14" cm="1">
        <f ca="1" t="array" ref="D17">INDIRECT("装备牌部件!I"&amp;(ROW()-2)*6+2)</f>
        <v>4</v>
      </c>
      <c r="E17" s="14" cm="1">
        <f ca="1" t="array" ref="E17">INDIRECT("装备牌部件!J"&amp;(ROW()-2)*6+2)</f>
        <v>4</v>
      </c>
      <c r="F17" s="14">
        <f ca="1" t="shared" si="0"/>
        <v>3</v>
      </c>
      <c r="G17" s="14">
        <f ca="1" t="shared" si="1"/>
        <v>5</v>
      </c>
    </row>
    <row r="18" ht="16.2" spans="1:7">
      <c r="A18" s="14" t="s">
        <v>108</v>
      </c>
      <c r="B18" s="14" cm="1">
        <f ca="1" t="array" ref="B18">INDIRECT("装备牌部件!G"&amp;(ROW()-2)*6+2)</f>
        <v>2</v>
      </c>
      <c r="C18" s="14" cm="1">
        <f ca="1" t="array" ref="C18">INDIRECT("装备牌部件!H"&amp;(ROW()-2)*6+2)</f>
        <v>2</v>
      </c>
      <c r="D18" s="14" cm="1">
        <f ca="1" t="array" ref="D18">INDIRECT("装备牌部件!I"&amp;(ROW()-2)*6+2)</f>
        <v>4</v>
      </c>
      <c r="E18" s="14" cm="1">
        <f ca="1" t="array" ref="E18">INDIRECT("装备牌部件!J"&amp;(ROW()-2)*6+2)</f>
        <v>4</v>
      </c>
      <c r="F18" s="14">
        <f ca="1" t="shared" si="0"/>
        <v>4</v>
      </c>
      <c r="G18" s="14">
        <f ca="1" t="shared" si="1"/>
        <v>6</v>
      </c>
    </row>
    <row r="19" ht="16.2" spans="1:7">
      <c r="A19" s="14" t="s">
        <v>112</v>
      </c>
      <c r="B19" s="14" cm="1">
        <f ca="1" t="array" ref="B19">INDIRECT("装备牌部件!G"&amp;(ROW()-2)*6+2)</f>
        <v>3</v>
      </c>
      <c r="C19" s="14" cm="1">
        <f ca="1" t="array" ref="C19">INDIRECT("装备牌部件!H"&amp;(ROW()-2)*6+2)</f>
        <v>1</v>
      </c>
      <c r="D19" s="14" cm="1">
        <f ca="1" t="array" ref="D19">INDIRECT("装备牌部件!I"&amp;(ROW()-2)*6+2)</f>
        <v>4</v>
      </c>
      <c r="E19" s="14" cm="1">
        <f ca="1" t="array" ref="E19">INDIRECT("装备牌部件!J"&amp;(ROW()-2)*6+2)</f>
        <v>5</v>
      </c>
      <c r="F19" s="14">
        <f ca="1" t="shared" si="0"/>
        <v>4</v>
      </c>
      <c r="G19" s="14">
        <f ca="1" t="shared" si="1"/>
        <v>5</v>
      </c>
    </row>
    <row r="20" ht="16.2" spans="1:7">
      <c r="A20" s="14" t="s">
        <v>258</v>
      </c>
      <c r="B20" s="14" cm="1">
        <f ca="1" t="array" ref="B20">INDIRECT("装备牌部件!G"&amp;(ROW()-2)*6+2)</f>
        <v>2</v>
      </c>
      <c r="C20" s="14" cm="1">
        <f ca="1" t="array" ref="C20">INDIRECT("装备牌部件!H"&amp;(ROW()-2)*6+2)</f>
        <v>1</v>
      </c>
      <c r="D20" s="14" cm="1">
        <f ca="1" t="array" ref="D20">INDIRECT("装备牌部件!I"&amp;(ROW()-2)*6+2)</f>
        <v>4</v>
      </c>
      <c r="E20" s="14" cm="1">
        <f ca="1" t="array" ref="E20">INDIRECT("装备牌部件!J"&amp;(ROW()-2)*6+2)</f>
        <v>4</v>
      </c>
      <c r="F20" s="14">
        <f ca="1" t="shared" si="0"/>
        <v>3</v>
      </c>
      <c r="G20" s="14">
        <f ca="1" t="shared" si="1"/>
        <v>5</v>
      </c>
    </row>
    <row r="21" ht="16.2" spans="1:7">
      <c r="A21" s="29" t="s">
        <v>124</v>
      </c>
      <c r="B21" s="19" cm="1">
        <f ca="1" t="array" ref="B21">INDIRECT("装备牌部件!G"&amp;(ROW()-2)*6+2)</f>
        <v>2</v>
      </c>
      <c r="C21" s="19" cm="1">
        <f ca="1" t="array" ref="C21">INDIRECT("装备牌部件!H"&amp;(ROW()-2)*6+2)</f>
        <v>2</v>
      </c>
      <c r="D21" s="19" cm="1">
        <f ca="1" t="array" ref="D21">INDIRECT("装备牌部件!I"&amp;(ROW()-2)*6+2)</f>
        <v>5</v>
      </c>
      <c r="E21" s="19" cm="1">
        <f ca="1" t="array" ref="E21">INDIRECT("装备牌部件!J"&amp;(ROW()-2)*6+2)</f>
        <v>6</v>
      </c>
      <c r="F21" s="19">
        <f ca="1" t="shared" si="0"/>
        <v>4</v>
      </c>
      <c r="G21" s="19">
        <f ca="1" t="shared" si="1"/>
        <v>7</v>
      </c>
    </row>
    <row r="22" ht="16.2" spans="1:7">
      <c r="A22" s="29" t="s">
        <v>132</v>
      </c>
      <c r="B22" s="19" cm="1">
        <f ca="1" t="array" ref="B22">INDIRECT("装备牌部件!G"&amp;(ROW()-2)*6+2)</f>
        <v>2</v>
      </c>
      <c r="C22" s="19" cm="1">
        <f ca="1" t="array" ref="C22">INDIRECT("装备牌部件!H"&amp;(ROW()-2)*6+2)</f>
        <v>2</v>
      </c>
      <c r="D22" s="19" cm="1">
        <f ca="1" t="array" ref="D22">INDIRECT("装备牌部件!I"&amp;(ROW()-2)*6+2)</f>
        <v>5</v>
      </c>
      <c r="E22" s="19" cm="1">
        <f ca="1" t="array" ref="E22">INDIRECT("装备牌部件!J"&amp;(ROW()-2)*6+2)</f>
        <v>6</v>
      </c>
      <c r="F22" s="19">
        <f ca="1" t="shared" si="0"/>
        <v>4</v>
      </c>
      <c r="G22" s="19">
        <f ca="1" t="shared" si="1"/>
        <v>7</v>
      </c>
    </row>
    <row r="23" ht="16.2" spans="1:7">
      <c r="A23" s="5" t="s">
        <v>259</v>
      </c>
      <c r="B23" s="5">
        <f ca="1" t="shared" ref="B23:G23" si="2">SUM(B2:B22)</f>
        <v>37</v>
      </c>
      <c r="C23" s="5">
        <f ca="1" t="shared" si="2"/>
        <v>18</v>
      </c>
      <c r="D23" s="5">
        <f ca="1" t="shared" si="2"/>
        <v>65</v>
      </c>
      <c r="E23" s="5">
        <f ca="1" t="shared" si="2"/>
        <v>70</v>
      </c>
      <c r="F23" s="5">
        <f ca="1" t="shared" si="2"/>
        <v>55</v>
      </c>
      <c r="G23" s="5">
        <f ca="1" t="shared" si="2"/>
        <v>83</v>
      </c>
    </row>
    <row r="24" ht="16.2" spans="1:7">
      <c r="A24" s="5" t="s">
        <v>260</v>
      </c>
      <c r="B24" s="5">
        <f ca="1" t="shared" ref="B24:G24" si="3">B23/21</f>
        <v>1.76190476190476</v>
      </c>
      <c r="C24" s="5">
        <f ca="1" t="shared" si="3"/>
        <v>0.857142857142857</v>
      </c>
      <c r="D24" s="5">
        <f ca="1" t="shared" si="3"/>
        <v>3.0952380952381</v>
      </c>
      <c r="E24" s="5">
        <f ca="1" t="shared" si="3"/>
        <v>3.33333333333333</v>
      </c>
      <c r="F24" s="5">
        <f ca="1" t="shared" si="3"/>
        <v>2.61904761904762</v>
      </c>
      <c r="G24" s="5">
        <f ca="1" t="shared" si="3"/>
        <v>3.95238095238095</v>
      </c>
    </row>
    <row r="25" ht="16.2" spans="1:7">
      <c r="A25" s="5" t="s">
        <v>261</v>
      </c>
      <c r="B25" s="5">
        <f ca="1" t="shared" ref="B25:G25" si="4">MAX(B2:B22)</f>
        <v>4</v>
      </c>
      <c r="C25" s="5">
        <f ca="1" t="shared" si="4"/>
        <v>2</v>
      </c>
      <c r="D25" s="5">
        <f ca="1" t="shared" si="4"/>
        <v>5</v>
      </c>
      <c r="E25" s="5">
        <f ca="1" t="shared" si="4"/>
        <v>6</v>
      </c>
      <c r="F25" s="5">
        <f ca="1" t="shared" si="4"/>
        <v>4</v>
      </c>
      <c r="G25" s="5">
        <f ca="1" t="shared" si="4"/>
        <v>7</v>
      </c>
    </row>
    <row r="26" ht="16.2" spans="1:7">
      <c r="A26" s="5" t="s">
        <v>262</v>
      </c>
      <c r="B26" s="5">
        <f ca="1" t="shared" ref="B26:G26" si="5">MIN(B2:B22)</f>
        <v>0</v>
      </c>
      <c r="C26" s="5">
        <f ca="1" t="shared" si="5"/>
        <v>0</v>
      </c>
      <c r="D26" s="5">
        <f ca="1" t="shared" si="5"/>
        <v>1</v>
      </c>
      <c r="E26" s="5">
        <f ca="1" t="shared" si="5"/>
        <v>1</v>
      </c>
      <c r="F26" s="5">
        <f ca="1" t="shared" si="5"/>
        <v>1</v>
      </c>
      <c r="G26" s="5">
        <f ca="1" t="shared" si="5"/>
        <v>1</v>
      </c>
    </row>
    <row r="27" ht="16.2" spans="1:7">
      <c r="A27" s="9" t="s">
        <v>263</v>
      </c>
      <c r="B27" s="9">
        <f ca="1" t="shared" ref="B27:G27" si="6">SUM(B2:B8)</f>
        <v>8</v>
      </c>
      <c r="C27" s="9">
        <f ca="1" t="shared" si="6"/>
        <v>3</v>
      </c>
      <c r="D27" s="9">
        <f ca="1" t="shared" si="6"/>
        <v>14</v>
      </c>
      <c r="E27" s="9">
        <f ca="1" t="shared" si="6"/>
        <v>15</v>
      </c>
      <c r="F27" s="9">
        <f ca="1" t="shared" si="6"/>
        <v>11</v>
      </c>
      <c r="G27" s="9">
        <f ca="1" t="shared" si="6"/>
        <v>17</v>
      </c>
    </row>
    <row r="28" ht="16.2" spans="1:7">
      <c r="A28" s="9" t="s">
        <v>264</v>
      </c>
      <c r="B28" s="9">
        <f ca="1" t="shared" ref="B28:G28" si="7">B27/7</f>
        <v>1.14285714285714</v>
      </c>
      <c r="C28" s="9">
        <f ca="1" t="shared" si="7"/>
        <v>0.428571428571429</v>
      </c>
      <c r="D28" s="9">
        <f ca="1" t="shared" si="7"/>
        <v>2</v>
      </c>
      <c r="E28" s="9">
        <f ca="1" t="shared" si="7"/>
        <v>2.14285714285714</v>
      </c>
      <c r="F28" s="9">
        <f ca="1" t="shared" si="7"/>
        <v>1.57142857142857</v>
      </c>
      <c r="G28" s="9">
        <f ca="1" t="shared" si="7"/>
        <v>2.42857142857143</v>
      </c>
    </row>
    <row r="29" ht="16.2" spans="1:7">
      <c r="A29" s="9" t="s">
        <v>265</v>
      </c>
      <c r="B29" s="9">
        <f ca="1" t="shared" ref="B29:G29" si="8">MAX(B2:B8)</f>
        <v>3</v>
      </c>
      <c r="C29" s="9">
        <f ca="1" t="shared" si="8"/>
        <v>1</v>
      </c>
      <c r="D29" s="9">
        <f ca="1" t="shared" si="8"/>
        <v>3</v>
      </c>
      <c r="E29" s="9">
        <f ca="1" t="shared" si="8"/>
        <v>4</v>
      </c>
      <c r="F29" s="9">
        <f ca="1" t="shared" si="8"/>
        <v>3</v>
      </c>
      <c r="G29" s="9">
        <f ca="1" t="shared" si="8"/>
        <v>3</v>
      </c>
    </row>
    <row r="30" ht="16.2" spans="1:7">
      <c r="A30" s="9" t="s">
        <v>266</v>
      </c>
      <c r="B30" s="9">
        <f ca="1" t="shared" ref="B30:G30" si="9">MIN(B2:B8)</f>
        <v>0</v>
      </c>
      <c r="C30" s="9">
        <f ca="1" t="shared" si="9"/>
        <v>0</v>
      </c>
      <c r="D30" s="9">
        <f ca="1" t="shared" si="9"/>
        <v>1</v>
      </c>
      <c r="E30" s="9">
        <f ca="1" t="shared" si="9"/>
        <v>1</v>
      </c>
      <c r="F30" s="9">
        <f ca="1" t="shared" si="9"/>
        <v>1</v>
      </c>
      <c r="G30" s="9">
        <f ca="1" t="shared" si="9"/>
        <v>1</v>
      </c>
    </row>
    <row r="31" ht="16.2" spans="1:7">
      <c r="A31" s="13" t="s">
        <v>267</v>
      </c>
      <c r="B31" s="13">
        <f ca="1" t="shared" ref="B31:G31" si="10">SUM(B9:B15)</f>
        <v>13</v>
      </c>
      <c r="C31" s="13">
        <f ca="1" t="shared" si="10"/>
        <v>5</v>
      </c>
      <c r="D31" s="13">
        <f ca="1" t="shared" si="10"/>
        <v>21</v>
      </c>
      <c r="E31" s="13">
        <f ca="1" t="shared" si="10"/>
        <v>22</v>
      </c>
      <c r="F31" s="13">
        <f ca="1" t="shared" si="10"/>
        <v>18</v>
      </c>
      <c r="G31" s="13">
        <f ca="1" t="shared" si="10"/>
        <v>26</v>
      </c>
    </row>
    <row r="32" ht="16.2" spans="1:7">
      <c r="A32" s="13" t="s">
        <v>268</v>
      </c>
      <c r="B32" s="13">
        <f ca="1" t="shared" ref="B32:G32" si="11">B31/7</f>
        <v>1.85714285714286</v>
      </c>
      <c r="C32" s="13">
        <f ca="1" t="shared" si="11"/>
        <v>0.714285714285714</v>
      </c>
      <c r="D32" s="13">
        <f ca="1" t="shared" si="11"/>
        <v>3</v>
      </c>
      <c r="E32" s="13">
        <f ca="1" t="shared" si="11"/>
        <v>3.14285714285714</v>
      </c>
      <c r="F32" s="13">
        <f ca="1" t="shared" si="11"/>
        <v>2.57142857142857</v>
      </c>
      <c r="G32" s="13">
        <f ca="1" t="shared" si="11"/>
        <v>3.71428571428571</v>
      </c>
    </row>
    <row r="33" ht="16.2" spans="1:7">
      <c r="A33" s="13" t="s">
        <v>269</v>
      </c>
      <c r="B33" s="13">
        <f ca="1" t="shared" ref="B33:G33" si="12">MAX(B9:B15)</f>
        <v>4</v>
      </c>
      <c r="C33" s="13">
        <f ca="1" t="shared" si="12"/>
        <v>1</v>
      </c>
      <c r="D33" s="13">
        <f ca="1" t="shared" si="12"/>
        <v>4</v>
      </c>
      <c r="E33" s="13">
        <f ca="1" t="shared" si="12"/>
        <v>5</v>
      </c>
      <c r="F33" s="13">
        <f ca="1" t="shared" si="12"/>
        <v>4</v>
      </c>
      <c r="G33" s="13">
        <f ca="1" t="shared" si="12"/>
        <v>4</v>
      </c>
    </row>
    <row r="34" ht="16.2" spans="1:7">
      <c r="A34" s="13" t="s">
        <v>270</v>
      </c>
      <c r="B34" s="13">
        <f ca="1" t="shared" ref="B34:G34" si="13">MIN(B9:B15)</f>
        <v>1</v>
      </c>
      <c r="C34" s="13">
        <f ca="1" t="shared" si="13"/>
        <v>0</v>
      </c>
      <c r="D34" s="13">
        <f ca="1" t="shared" si="13"/>
        <v>2</v>
      </c>
      <c r="E34" s="13">
        <f ca="1" t="shared" si="13"/>
        <v>2</v>
      </c>
      <c r="F34" s="13">
        <f ca="1" t="shared" si="13"/>
        <v>2</v>
      </c>
      <c r="G34" s="13">
        <f ca="1" t="shared" si="13"/>
        <v>2</v>
      </c>
    </row>
    <row r="35" ht="16.2" spans="1:7">
      <c r="A35" s="14" t="s">
        <v>271</v>
      </c>
      <c r="B35" s="14">
        <f ca="1" t="shared" ref="B35:G35" si="14">SUM(B16:B20)</f>
        <v>12</v>
      </c>
      <c r="C35" s="14">
        <f ca="1" t="shared" si="14"/>
        <v>6</v>
      </c>
      <c r="D35" s="14">
        <f ca="1" t="shared" si="14"/>
        <v>20</v>
      </c>
      <c r="E35" s="14">
        <f ca="1" t="shared" si="14"/>
        <v>21</v>
      </c>
      <c r="F35" s="14">
        <f ca="1" t="shared" si="14"/>
        <v>18</v>
      </c>
      <c r="G35" s="14">
        <f ca="1" t="shared" si="14"/>
        <v>26</v>
      </c>
    </row>
    <row r="36" ht="16.2" spans="1:7">
      <c r="A36" s="15" t="s">
        <v>272</v>
      </c>
      <c r="B36" s="15">
        <f ca="1" t="shared" ref="B36:G36" si="15">B35/4</f>
        <v>3</v>
      </c>
      <c r="C36" s="15">
        <f ca="1" t="shared" si="15"/>
        <v>1.5</v>
      </c>
      <c r="D36" s="15">
        <f ca="1" t="shared" si="15"/>
        <v>5</v>
      </c>
      <c r="E36" s="15">
        <f ca="1" t="shared" si="15"/>
        <v>5.25</v>
      </c>
      <c r="F36" s="15">
        <f ca="1" t="shared" si="15"/>
        <v>4.5</v>
      </c>
      <c r="G36" s="15">
        <f ca="1" t="shared" si="15"/>
        <v>6.5</v>
      </c>
    </row>
    <row r="37" ht="16.2" spans="1:7">
      <c r="A37" s="14" t="s">
        <v>273</v>
      </c>
      <c r="B37" s="14">
        <f ca="1" t="shared" ref="B37:G37" si="16">MAX(B16:B20)</f>
        <v>3</v>
      </c>
      <c r="C37" s="14">
        <f ca="1" t="shared" si="16"/>
        <v>2</v>
      </c>
      <c r="D37" s="14">
        <f ca="1" t="shared" si="16"/>
        <v>4</v>
      </c>
      <c r="E37" s="14">
        <f ca="1" t="shared" si="16"/>
        <v>5</v>
      </c>
      <c r="F37" s="14">
        <f ca="1" t="shared" si="16"/>
        <v>4</v>
      </c>
      <c r="G37" s="14">
        <f ca="1" t="shared" si="16"/>
        <v>6</v>
      </c>
    </row>
    <row r="38" ht="16.2" spans="1:7">
      <c r="A38" s="14" t="s">
        <v>274</v>
      </c>
      <c r="B38" s="14">
        <f ca="1" t="shared" ref="B38:G38" si="17">MIN(B16:B20)</f>
        <v>2</v>
      </c>
      <c r="C38" s="14">
        <f ca="1" t="shared" si="17"/>
        <v>1</v>
      </c>
      <c r="D38" s="14">
        <f ca="1" t="shared" si="17"/>
        <v>4</v>
      </c>
      <c r="E38" s="14">
        <f ca="1" t="shared" si="17"/>
        <v>4</v>
      </c>
      <c r="F38" s="14">
        <f ca="1" t="shared" si="17"/>
        <v>3</v>
      </c>
      <c r="G38" s="14">
        <f ca="1" t="shared" si="17"/>
        <v>5</v>
      </c>
    </row>
    <row r="39" ht="16.2" spans="1:7">
      <c r="A39" s="19" t="s">
        <v>275</v>
      </c>
      <c r="B39" s="19">
        <f ca="1" t="shared" ref="B39:G39" si="18">SUM(B21:B22)</f>
        <v>4</v>
      </c>
      <c r="C39" s="19">
        <f ca="1" t="shared" si="18"/>
        <v>4</v>
      </c>
      <c r="D39" s="19">
        <f ca="1" t="shared" si="18"/>
        <v>10</v>
      </c>
      <c r="E39" s="19">
        <f ca="1" t="shared" si="18"/>
        <v>12</v>
      </c>
      <c r="F39" s="19">
        <f ca="1" t="shared" si="18"/>
        <v>8</v>
      </c>
      <c r="G39" s="19">
        <f ca="1" t="shared" si="18"/>
        <v>14</v>
      </c>
    </row>
    <row r="40" ht="16.2" spans="1:7">
      <c r="A40" s="19" t="s">
        <v>276</v>
      </c>
      <c r="B40" s="19">
        <f ca="1" t="shared" ref="B40:G40" si="19">B39/2</f>
        <v>2</v>
      </c>
      <c r="C40" s="19">
        <f ca="1" t="shared" si="19"/>
        <v>2</v>
      </c>
      <c r="D40" s="19">
        <f ca="1" t="shared" si="19"/>
        <v>5</v>
      </c>
      <c r="E40" s="19">
        <f ca="1" t="shared" si="19"/>
        <v>6</v>
      </c>
      <c r="F40" s="19">
        <f ca="1" t="shared" si="19"/>
        <v>4</v>
      </c>
      <c r="G40" s="19">
        <f ca="1" t="shared" si="19"/>
        <v>7</v>
      </c>
    </row>
    <row r="41" ht="16.2" spans="1:7">
      <c r="A41" s="19" t="s">
        <v>277</v>
      </c>
      <c r="B41" s="19">
        <f ca="1" t="shared" ref="B41:G41" si="20">MAX(B21:B22)</f>
        <v>2</v>
      </c>
      <c r="C41" s="19">
        <f ca="1" t="shared" si="20"/>
        <v>2</v>
      </c>
      <c r="D41" s="19">
        <f ca="1" t="shared" si="20"/>
        <v>5</v>
      </c>
      <c r="E41" s="19">
        <f ca="1" t="shared" si="20"/>
        <v>6</v>
      </c>
      <c r="F41" s="19">
        <f ca="1" t="shared" si="20"/>
        <v>4</v>
      </c>
      <c r="G41" s="19">
        <f ca="1" t="shared" si="20"/>
        <v>7</v>
      </c>
    </row>
    <row r="42" ht="16.2" spans="1:7">
      <c r="A42" s="19" t="s">
        <v>278</v>
      </c>
      <c r="B42" s="19">
        <f ca="1" t="shared" ref="B42:G42" si="21">MIN(B21:B22)</f>
        <v>2</v>
      </c>
      <c r="C42" s="19">
        <f ca="1" t="shared" si="21"/>
        <v>2</v>
      </c>
      <c r="D42" s="19">
        <f ca="1" t="shared" si="21"/>
        <v>5</v>
      </c>
      <c r="E42" s="19">
        <f ca="1" t="shared" si="21"/>
        <v>6</v>
      </c>
      <c r="F42" s="19">
        <f ca="1" t="shared" si="21"/>
        <v>4</v>
      </c>
      <c r="G42" s="19">
        <f ca="1" t="shared" si="21"/>
        <v>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pane ySplit="1" topLeftCell="A19" activePane="bottomLeft" state="frozen"/>
      <selection/>
      <selection pane="bottomLeft" activeCell="K37" sqref="K37"/>
    </sheetView>
  </sheetViews>
  <sheetFormatPr defaultColWidth="9" defaultRowHeight="14.4" outlineLevelCol="6"/>
  <cols>
    <col min="1" max="1" width="17.4444444444444" style="1" customWidth="1"/>
    <col min="6" max="6" width="13" customWidth="1"/>
    <col min="7" max="7" width="16.5555555555556" customWidth="1"/>
  </cols>
  <sheetData>
    <row r="1" ht="16.2" spans="1:7">
      <c r="A1" s="26" t="s">
        <v>18</v>
      </c>
      <c r="B1" s="26" t="s">
        <v>6</v>
      </c>
      <c r="C1" s="26" t="s">
        <v>7</v>
      </c>
      <c r="D1" s="26" t="s">
        <v>8</v>
      </c>
      <c r="E1" s="26" t="s">
        <v>9</v>
      </c>
      <c r="F1" s="5" t="s">
        <v>254</v>
      </c>
      <c r="G1" s="5" t="s">
        <v>255</v>
      </c>
    </row>
    <row r="2" ht="16.2" spans="1:7">
      <c r="A2" s="9" t="s">
        <v>14</v>
      </c>
      <c r="B2" s="9" cm="1">
        <f ca="1" t="array" ref="B2">INDIRECT("装备牌部件!G"&amp;(ROW()-2)*6+3)</f>
        <v>3</v>
      </c>
      <c r="C2" s="9" cm="1">
        <f ca="1" t="array" ref="C2">INDIRECT("装备牌部件!H"&amp;(ROW()-2)*6+3)</f>
        <v>2</v>
      </c>
      <c r="D2" s="9" cm="1">
        <f ca="1" t="array" ref="D2">INDIRECT("装备牌部件!I"&amp;(ROW()-2)*6+3)</f>
        <v>4</v>
      </c>
      <c r="E2" s="9" cm="1">
        <f ca="1" t="array" ref="E2">INDIRECT("装备牌部件!J"&amp;(ROW()-2)*6+3)</f>
        <v>4</v>
      </c>
      <c r="F2" s="9">
        <f ca="1" t="shared" ref="F2:F22" si="0">B2+C2</f>
        <v>5</v>
      </c>
      <c r="G2" s="9">
        <f ca="1" t="shared" ref="G2:G22" si="1">C2+D2</f>
        <v>6</v>
      </c>
    </row>
    <row r="3" ht="16.2" spans="1:7">
      <c r="A3" s="9" t="s">
        <v>23</v>
      </c>
      <c r="B3" s="9" cm="1">
        <f ca="1" t="array" ref="B3">INDIRECT("装备牌部件!G"&amp;(ROW()-2)*6+3)</f>
        <v>3</v>
      </c>
      <c r="C3" s="9" cm="1">
        <f ca="1" t="array" ref="C3">INDIRECT("装备牌部件!H"&amp;(ROW()-2)*6+3)</f>
        <v>2</v>
      </c>
      <c r="D3" s="9" cm="1">
        <f ca="1" t="array" ref="D3">INDIRECT("装备牌部件!I"&amp;(ROW()-2)*6+3)</f>
        <v>3</v>
      </c>
      <c r="E3" s="9" cm="1">
        <f ca="1" t="array" ref="E3">INDIRECT("装备牌部件!J"&amp;(ROW()-2)*6+3)</f>
        <v>4</v>
      </c>
      <c r="F3" s="9">
        <f ca="1" t="shared" si="0"/>
        <v>5</v>
      </c>
      <c r="G3" s="9">
        <f ca="1" t="shared" si="1"/>
        <v>5</v>
      </c>
    </row>
    <row r="4" ht="16.2" spans="1:7">
      <c r="A4" s="9" t="s">
        <v>30</v>
      </c>
      <c r="B4" s="9" cm="1">
        <f ca="1" t="array" ref="B4">INDIRECT("装备牌部件!G"&amp;(ROW()-2)*6+3)</f>
        <v>2</v>
      </c>
      <c r="C4" s="9" cm="1">
        <f ca="1" t="array" ref="C4">INDIRECT("装备牌部件!H"&amp;(ROW()-2)*6+3)</f>
        <v>2</v>
      </c>
      <c r="D4" s="9" cm="1">
        <f ca="1" t="array" ref="D4">INDIRECT("装备牌部件!I"&amp;(ROW()-2)*6+3)</f>
        <v>3</v>
      </c>
      <c r="E4" s="9" cm="1">
        <f ca="1" t="array" ref="E4">INDIRECT("装备牌部件!J"&amp;(ROW()-2)*6+3)</f>
        <v>3</v>
      </c>
      <c r="F4" s="9">
        <f ca="1" t="shared" si="0"/>
        <v>4</v>
      </c>
      <c r="G4" s="9">
        <f ca="1" t="shared" si="1"/>
        <v>5</v>
      </c>
    </row>
    <row r="5" ht="16.2" spans="1:7">
      <c r="A5" s="9" t="s">
        <v>37</v>
      </c>
      <c r="B5" s="9" cm="1">
        <f ca="1" t="array" ref="B5">INDIRECT("装备牌部件!G"&amp;(ROW()-2)*6+3)</f>
        <v>4</v>
      </c>
      <c r="C5" s="9" cm="1">
        <f ca="1" t="array" ref="C5">INDIRECT("装备牌部件!H"&amp;(ROW()-2)*6+3)</f>
        <v>1</v>
      </c>
      <c r="D5" s="9" cm="1">
        <f ca="1" t="array" ref="D5">INDIRECT("装备牌部件!I"&amp;(ROW()-2)*6+3)</f>
        <v>3</v>
      </c>
      <c r="E5" s="9" cm="1">
        <f ca="1" t="array" ref="E5">INDIRECT("装备牌部件!J"&amp;(ROW()-2)*6+3)</f>
        <v>4</v>
      </c>
      <c r="F5" s="9">
        <f ca="1" t="shared" si="0"/>
        <v>5</v>
      </c>
      <c r="G5" s="9">
        <f ca="1" t="shared" si="1"/>
        <v>4</v>
      </c>
    </row>
    <row r="6" ht="16.2" spans="1:7">
      <c r="A6" s="9" t="s">
        <v>41</v>
      </c>
      <c r="B6" s="9" cm="1">
        <f ca="1" t="array" ref="B6">INDIRECT("装备牌部件!G"&amp;(ROW()-2)*6+3)</f>
        <v>2</v>
      </c>
      <c r="C6" s="9" cm="1">
        <f ca="1" t="array" ref="C6">INDIRECT("装备牌部件!H"&amp;(ROW()-2)*6+3)</f>
        <v>2</v>
      </c>
      <c r="D6" s="9" cm="1">
        <f ca="1" t="array" ref="D6">INDIRECT("装备牌部件!I"&amp;(ROW()-2)*6+3)</f>
        <v>3</v>
      </c>
      <c r="E6" s="9" cm="1">
        <f ca="1" t="array" ref="E6">INDIRECT("装备牌部件!J"&amp;(ROW()-2)*6+3)</f>
        <v>4</v>
      </c>
      <c r="F6" s="9">
        <f ca="1" t="shared" si="0"/>
        <v>4</v>
      </c>
      <c r="G6" s="9">
        <f ca="1" t="shared" si="1"/>
        <v>5</v>
      </c>
    </row>
    <row r="7" ht="16.2" spans="1:7">
      <c r="A7" s="9" t="s">
        <v>47</v>
      </c>
      <c r="B7" s="9" cm="1">
        <f ca="1" t="array" ref="B7">INDIRECT("装备牌部件!G"&amp;(ROW()-2)*6+3)</f>
        <v>3</v>
      </c>
      <c r="C7" s="9" cm="1">
        <f ca="1" t="array" ref="C7">INDIRECT("装备牌部件!H"&amp;(ROW()-2)*6+3)</f>
        <v>1</v>
      </c>
      <c r="D7" s="9" cm="1">
        <f ca="1" t="array" ref="D7">INDIRECT("装备牌部件!I"&amp;(ROW()-2)*6+3)</f>
        <v>2</v>
      </c>
      <c r="E7" s="9" cm="1">
        <f ca="1" t="array" ref="E7">INDIRECT("装备牌部件!J"&amp;(ROW()-2)*6+3)</f>
        <v>2</v>
      </c>
      <c r="F7" s="9">
        <f ca="1" t="shared" si="0"/>
        <v>4</v>
      </c>
      <c r="G7" s="9">
        <f ca="1" t="shared" si="1"/>
        <v>3</v>
      </c>
    </row>
    <row r="8" ht="16.2" spans="1:7">
      <c r="A8" s="9" t="s">
        <v>54</v>
      </c>
      <c r="B8" s="9" cm="1">
        <f ca="1" t="array" ref="B8">INDIRECT("装备牌部件!G"&amp;(ROW()-2)*6+3)</f>
        <v>2</v>
      </c>
      <c r="C8" s="9" cm="1">
        <f ca="1" t="array" ref="C8">INDIRECT("装备牌部件!H"&amp;(ROW()-2)*6+3)</f>
        <v>0</v>
      </c>
      <c r="D8" s="9" cm="1">
        <f ca="1" t="array" ref="D8">INDIRECT("装备牌部件!I"&amp;(ROW()-2)*6+3)</f>
        <v>2</v>
      </c>
      <c r="E8" s="9" cm="1">
        <f ca="1" t="array" ref="E8">INDIRECT("装备牌部件!J"&amp;(ROW()-2)*6+3)</f>
        <v>2</v>
      </c>
      <c r="F8" s="9">
        <f ca="1" t="shared" si="0"/>
        <v>2</v>
      </c>
      <c r="G8" s="9">
        <f ca="1" t="shared" si="1"/>
        <v>2</v>
      </c>
    </row>
    <row r="9" ht="16.2" spans="1:7">
      <c r="A9" s="28" t="s">
        <v>59</v>
      </c>
      <c r="B9" s="13" cm="1">
        <f ca="1" t="array" ref="B9">INDIRECT("装备牌部件!G"&amp;(ROW()-2)*6+3)</f>
        <v>2</v>
      </c>
      <c r="C9" s="13" cm="1">
        <f ca="1" t="array" ref="C9">INDIRECT("装备牌部件!H"&amp;(ROW()-2)*6+3)</f>
        <v>3</v>
      </c>
      <c r="D9" s="13" cm="1">
        <f ca="1" t="array" ref="D9">INDIRECT("装备牌部件!I"&amp;(ROW()-2)*6+3)</f>
        <v>5</v>
      </c>
      <c r="E9" s="13" cm="1">
        <f ca="1" t="array" ref="E9">INDIRECT("装备牌部件!J"&amp;(ROW()-2)*6+3)</f>
        <v>5</v>
      </c>
      <c r="F9" s="13">
        <f ca="1" t="shared" si="0"/>
        <v>5</v>
      </c>
      <c r="G9" s="13">
        <f ca="1" t="shared" si="1"/>
        <v>8</v>
      </c>
    </row>
    <row r="10" ht="16.2" spans="1:7">
      <c r="A10" s="28" t="s">
        <v>63</v>
      </c>
      <c r="B10" s="13" cm="1">
        <f ca="1" t="array" ref="B10">INDIRECT("装备牌部件!G"&amp;(ROW()-2)*6+3)</f>
        <v>4</v>
      </c>
      <c r="C10" s="13" cm="1">
        <f ca="1" t="array" ref="C10">INDIRECT("装备牌部件!H"&amp;(ROW()-2)*6+3)</f>
        <v>2</v>
      </c>
      <c r="D10" s="13" cm="1">
        <f ca="1" t="array" ref="D10">INDIRECT("装备牌部件!I"&amp;(ROW()-2)*6+3)</f>
        <v>4</v>
      </c>
      <c r="E10" s="13" cm="1">
        <f ca="1" t="array" ref="E10">INDIRECT("装备牌部件!J"&amp;(ROW()-2)*6+3)</f>
        <v>5</v>
      </c>
      <c r="F10" s="13">
        <f ca="1" t="shared" si="0"/>
        <v>6</v>
      </c>
      <c r="G10" s="13">
        <f ca="1" t="shared" si="1"/>
        <v>6</v>
      </c>
    </row>
    <row r="11" ht="16.2" spans="1:7">
      <c r="A11" s="28" t="s">
        <v>69</v>
      </c>
      <c r="B11" s="13" cm="1">
        <f ca="1" t="array" ref="B11">INDIRECT("装备牌部件!G"&amp;(ROW()-2)*6+3)</f>
        <v>3</v>
      </c>
      <c r="C11" s="13" cm="1">
        <f ca="1" t="array" ref="C11">INDIRECT("装备牌部件!H"&amp;(ROW()-2)*6+3)</f>
        <v>2</v>
      </c>
      <c r="D11" s="13" cm="1">
        <f ca="1" t="array" ref="D11">INDIRECT("装备牌部件!I"&amp;(ROW()-2)*6+3)</f>
        <v>4</v>
      </c>
      <c r="E11" s="13" cm="1">
        <f ca="1" t="array" ref="E11">INDIRECT("装备牌部件!J"&amp;(ROW()-2)*6+3)</f>
        <v>4</v>
      </c>
      <c r="F11" s="13">
        <f ca="1" t="shared" si="0"/>
        <v>5</v>
      </c>
      <c r="G11" s="13">
        <f ca="1" t="shared" si="1"/>
        <v>6</v>
      </c>
    </row>
    <row r="12" ht="16.2" spans="1:7">
      <c r="A12" s="28" t="s">
        <v>75</v>
      </c>
      <c r="B12" s="13" cm="1">
        <f ca="1" t="array" ref="B12">INDIRECT("装备牌部件!G"&amp;(ROW()-2)*6+3)</f>
        <v>4</v>
      </c>
      <c r="C12" s="13" cm="1">
        <f ca="1" t="array" ref="C12">INDIRECT("装备牌部件!H"&amp;(ROW()-2)*6+3)</f>
        <v>2</v>
      </c>
      <c r="D12" s="13" cm="1">
        <f ca="1" t="array" ref="D12">INDIRECT("装备牌部件!I"&amp;(ROW()-2)*6+3)</f>
        <v>4</v>
      </c>
      <c r="E12" s="13" cm="1">
        <f ca="1" t="array" ref="E12">INDIRECT("装备牌部件!J"&amp;(ROW()-2)*6+3)</f>
        <v>5</v>
      </c>
      <c r="F12" s="13">
        <f ca="1" t="shared" si="0"/>
        <v>6</v>
      </c>
      <c r="G12" s="13">
        <f ca="1" t="shared" si="1"/>
        <v>6</v>
      </c>
    </row>
    <row r="13" ht="16.2" spans="1:7">
      <c r="A13" s="28" t="s">
        <v>79</v>
      </c>
      <c r="B13" s="13" cm="1">
        <f ca="1" t="array" ref="B13">INDIRECT("装备牌部件!G"&amp;(ROW()-2)*6+3)</f>
        <v>2</v>
      </c>
      <c r="C13" s="13" cm="1">
        <f ca="1" t="array" ref="C13">INDIRECT("装备牌部件!H"&amp;(ROW()-2)*6+3)</f>
        <v>3</v>
      </c>
      <c r="D13" s="13" cm="1">
        <f ca="1" t="array" ref="D13">INDIRECT("装备牌部件!I"&amp;(ROW()-2)*6+3)</f>
        <v>4</v>
      </c>
      <c r="E13" s="13" cm="1">
        <f ca="1" t="array" ref="E13">INDIRECT("装备牌部件!J"&amp;(ROW()-2)*6+3)</f>
        <v>5</v>
      </c>
      <c r="F13" s="13">
        <f ca="1" t="shared" si="0"/>
        <v>5</v>
      </c>
      <c r="G13" s="13">
        <f ca="1" t="shared" si="1"/>
        <v>7</v>
      </c>
    </row>
    <row r="14" ht="16.2" spans="1:7">
      <c r="A14" s="28" t="s">
        <v>256</v>
      </c>
      <c r="B14" s="13" cm="1">
        <f ca="1" t="array" ref="B14">INDIRECT("装备牌部件!G"&amp;(ROW()-2)*6+3)</f>
        <v>4</v>
      </c>
      <c r="C14" s="13" cm="1">
        <f ca="1" t="array" ref="C14">INDIRECT("装备牌部件!H"&amp;(ROW()-2)*6+3)</f>
        <v>1</v>
      </c>
      <c r="D14" s="13" cm="1">
        <f ca="1" t="array" ref="D14">INDIRECT("装备牌部件!I"&amp;(ROW()-2)*6+3)</f>
        <v>3</v>
      </c>
      <c r="E14" s="13" cm="1">
        <f ca="1" t="array" ref="E14">INDIRECT("装备牌部件!J"&amp;(ROW()-2)*6+3)</f>
        <v>3</v>
      </c>
      <c r="F14" s="13">
        <f ca="1" t="shared" si="0"/>
        <v>5</v>
      </c>
      <c r="G14" s="13">
        <f ca="1" t="shared" si="1"/>
        <v>4</v>
      </c>
    </row>
    <row r="15" ht="16.2" spans="1:7">
      <c r="A15" s="28" t="s">
        <v>257</v>
      </c>
      <c r="B15" s="13" cm="1">
        <f ca="1" t="array" ref="B15">INDIRECT("装备牌部件!G"&amp;(ROW()-2)*6+3)</f>
        <v>3</v>
      </c>
      <c r="C15" s="13" cm="1">
        <f ca="1" t="array" ref="C15">INDIRECT("装备牌部件!H"&amp;(ROW()-2)*6+3)</f>
        <v>0</v>
      </c>
      <c r="D15" s="13" cm="1">
        <f ca="1" t="array" ref="D15">INDIRECT("装备牌部件!I"&amp;(ROW()-2)*6+3)</f>
        <v>3</v>
      </c>
      <c r="E15" s="13" cm="1">
        <f ca="1" t="array" ref="E15">INDIRECT("装备牌部件!J"&amp;(ROW()-2)*6+3)</f>
        <v>3</v>
      </c>
      <c r="F15" s="13">
        <f ca="1" t="shared" si="0"/>
        <v>3</v>
      </c>
      <c r="G15" s="13">
        <f ca="1" t="shared" si="1"/>
        <v>3</v>
      </c>
    </row>
    <row r="16" ht="16.2" spans="1:7">
      <c r="A16" s="14" t="s">
        <v>98</v>
      </c>
      <c r="B16" s="14" cm="1">
        <f ca="1" t="array" ref="B16">INDIRECT("装备牌部件!G"&amp;(ROW()-2)*6+3)</f>
        <v>3</v>
      </c>
      <c r="C16" s="14" cm="1">
        <f ca="1" t="array" ref="C16">INDIRECT("装备牌部件!H"&amp;(ROW()-2)*6+3)</f>
        <v>3</v>
      </c>
      <c r="D16" s="14" cm="1">
        <f ca="1" t="array" ref="D16">INDIRECT("装备牌部件!I"&amp;(ROW()-2)*6+3)</f>
        <v>6</v>
      </c>
      <c r="E16" s="14" cm="1">
        <f ca="1" t="array" ref="E16">INDIRECT("装备牌部件!J"&amp;(ROW()-2)*6+3)</f>
        <v>6</v>
      </c>
      <c r="F16" s="14">
        <f ca="1" t="shared" si="0"/>
        <v>6</v>
      </c>
      <c r="G16" s="14">
        <f ca="1" t="shared" si="1"/>
        <v>9</v>
      </c>
    </row>
    <row r="17" ht="16.2" spans="1:7">
      <c r="A17" s="14" t="s">
        <v>103</v>
      </c>
      <c r="B17" s="14" cm="1">
        <f ca="1" t="array" ref="B17">INDIRECT("装备牌部件!G"&amp;(ROW()-2)*6+3)</f>
        <v>5</v>
      </c>
      <c r="C17" s="14" cm="1">
        <f ca="1" t="array" ref="C17">INDIRECT("装备牌部件!H"&amp;(ROW()-2)*6+3)</f>
        <v>2</v>
      </c>
      <c r="D17" s="14" cm="1">
        <f ca="1" t="array" ref="D17">INDIRECT("装备牌部件!I"&amp;(ROW()-2)*6+3)</f>
        <v>5</v>
      </c>
      <c r="E17" s="14" cm="1">
        <f ca="1" t="array" ref="E17">INDIRECT("装备牌部件!J"&amp;(ROW()-2)*6+3)</f>
        <v>6</v>
      </c>
      <c r="F17" s="14">
        <f ca="1" t="shared" si="0"/>
        <v>7</v>
      </c>
      <c r="G17" s="14">
        <f ca="1" t="shared" si="1"/>
        <v>7</v>
      </c>
    </row>
    <row r="18" ht="16.2" spans="1:7">
      <c r="A18" s="14" t="s">
        <v>108</v>
      </c>
      <c r="B18" s="14" cm="1">
        <f ca="1" t="array" ref="B18">INDIRECT("装备牌部件!G"&amp;(ROW()-2)*6+3)</f>
        <v>4</v>
      </c>
      <c r="C18" s="14" cm="1">
        <f ca="1" t="array" ref="C18">INDIRECT("装备牌部件!H"&amp;(ROW()-2)*6+3)</f>
        <v>2</v>
      </c>
      <c r="D18" s="14" cm="1">
        <f ca="1" t="array" ref="D18">INDIRECT("装备牌部件!I"&amp;(ROW()-2)*6+3)</f>
        <v>5</v>
      </c>
      <c r="E18" s="14" cm="1">
        <f ca="1" t="array" ref="E18">INDIRECT("装备牌部件!J"&amp;(ROW()-2)*6+3)</f>
        <v>6</v>
      </c>
      <c r="F18" s="14">
        <f ca="1" t="shared" si="0"/>
        <v>6</v>
      </c>
      <c r="G18" s="14">
        <f ca="1" t="shared" si="1"/>
        <v>7</v>
      </c>
    </row>
    <row r="19" ht="16.2" spans="1:7">
      <c r="A19" s="14" t="s">
        <v>112</v>
      </c>
      <c r="B19" s="14" cm="1">
        <f ca="1" t="array" ref="B19">INDIRECT("装备牌部件!G"&amp;(ROW()-2)*6+3)</f>
        <v>4</v>
      </c>
      <c r="C19" s="14" cm="1">
        <f ca="1" t="array" ref="C19">INDIRECT("装备牌部件!H"&amp;(ROW()-2)*6+3)</f>
        <v>3</v>
      </c>
      <c r="D19" s="14" cm="1">
        <f ca="1" t="array" ref="D19">INDIRECT("装备牌部件!I"&amp;(ROW()-2)*6+3)</f>
        <v>5</v>
      </c>
      <c r="E19" s="14" cm="1">
        <f ca="1" t="array" ref="E19">INDIRECT("装备牌部件!J"&amp;(ROW()-2)*6+3)</f>
        <v>6</v>
      </c>
      <c r="F19" s="14">
        <f ca="1" t="shared" si="0"/>
        <v>7</v>
      </c>
      <c r="G19" s="14">
        <f ca="1" t="shared" si="1"/>
        <v>8</v>
      </c>
    </row>
    <row r="20" ht="16.2" spans="1:7">
      <c r="A20" s="14" t="s">
        <v>258</v>
      </c>
      <c r="B20" s="14" cm="1">
        <f ca="1" t="array" ref="B20">INDIRECT("装备牌部件!G"&amp;(ROW()-2)*6+3)</f>
        <v>2</v>
      </c>
      <c r="C20" s="14" cm="1">
        <f ca="1" t="array" ref="C20">INDIRECT("装备牌部件!H"&amp;(ROW()-2)*6+3)</f>
        <v>1</v>
      </c>
      <c r="D20" s="14" cm="1">
        <f ca="1" t="array" ref="D20">INDIRECT("装备牌部件!I"&amp;(ROW()-2)*6+3)</f>
        <v>5</v>
      </c>
      <c r="E20" s="14" cm="1">
        <f ca="1" t="array" ref="E20">INDIRECT("装备牌部件!J"&amp;(ROW()-2)*6+3)</f>
        <v>5</v>
      </c>
      <c r="F20" s="14">
        <f ca="1" t="shared" si="0"/>
        <v>3</v>
      </c>
      <c r="G20" s="14">
        <f ca="1" t="shared" si="1"/>
        <v>6</v>
      </c>
    </row>
    <row r="21" ht="16.2" spans="1:7">
      <c r="A21" s="29" t="s">
        <v>124</v>
      </c>
      <c r="B21" s="19" cm="1">
        <f ca="1" t="array" ref="B21">INDIRECT("装备牌部件!G"&amp;(ROW()-2)*6+3)</f>
        <v>5</v>
      </c>
      <c r="C21" s="19" cm="1">
        <f ca="1" t="array" ref="C21">INDIRECT("装备牌部件!H"&amp;(ROW()-2)*6+3)</f>
        <v>3</v>
      </c>
      <c r="D21" s="19" cm="1">
        <f ca="1" t="array" ref="D21">INDIRECT("装备牌部件!I"&amp;(ROW()-2)*6+3)</f>
        <v>6</v>
      </c>
      <c r="E21" s="19" cm="1">
        <f ca="1" t="array" ref="E21">INDIRECT("装备牌部件!J"&amp;(ROW()-2)*6+3)</f>
        <v>8</v>
      </c>
      <c r="F21" s="19">
        <f ca="1" t="shared" si="0"/>
        <v>8</v>
      </c>
      <c r="G21" s="19">
        <f ca="1" t="shared" si="1"/>
        <v>9</v>
      </c>
    </row>
    <row r="22" ht="16.2" spans="1:7">
      <c r="A22" s="29" t="s">
        <v>132</v>
      </c>
      <c r="B22" s="19" cm="1">
        <f ca="1" t="array" ref="B22">INDIRECT("装备牌部件!G"&amp;(ROW()-2)*6+3)</f>
        <v>4</v>
      </c>
      <c r="C22" s="19" cm="1">
        <f ca="1" t="array" ref="C22">INDIRECT("装备牌部件!H"&amp;(ROW()-2)*6+3)</f>
        <v>4</v>
      </c>
      <c r="D22" s="19" cm="1">
        <f ca="1" t="array" ref="D22">INDIRECT("装备牌部件!I"&amp;(ROW()-2)*6+3)</f>
        <v>6</v>
      </c>
      <c r="E22" s="19" cm="1">
        <f ca="1" t="array" ref="E22">INDIRECT("装备牌部件!J"&amp;(ROW()-2)*6+3)</f>
        <v>8</v>
      </c>
      <c r="F22" s="19">
        <f ca="1" t="shared" si="0"/>
        <v>8</v>
      </c>
      <c r="G22" s="19">
        <f ca="1" t="shared" si="1"/>
        <v>10</v>
      </c>
    </row>
    <row r="23" ht="16.2" spans="1:7">
      <c r="A23" s="5" t="s">
        <v>259</v>
      </c>
      <c r="B23" s="5">
        <f ca="1" t="shared" ref="B23:G23" si="2">SUM(B2:B22)</f>
        <v>68</v>
      </c>
      <c r="C23" s="5">
        <f ca="1" t="shared" si="2"/>
        <v>41</v>
      </c>
      <c r="D23" s="5">
        <f ca="1" t="shared" si="2"/>
        <v>85</v>
      </c>
      <c r="E23" s="5">
        <f ca="1" t="shared" si="2"/>
        <v>98</v>
      </c>
      <c r="F23" s="5">
        <f ca="1" t="shared" si="2"/>
        <v>109</v>
      </c>
      <c r="G23" s="5">
        <f ca="1" t="shared" si="2"/>
        <v>126</v>
      </c>
    </row>
    <row r="24" ht="16.2" spans="1:7">
      <c r="A24" s="5" t="s">
        <v>260</v>
      </c>
      <c r="B24" s="5">
        <f ca="1" t="shared" ref="B24:G24" si="3">B23/21</f>
        <v>3.23809523809524</v>
      </c>
      <c r="C24" s="5">
        <f ca="1" t="shared" si="3"/>
        <v>1.95238095238095</v>
      </c>
      <c r="D24" s="5">
        <f ca="1" t="shared" si="3"/>
        <v>4.04761904761905</v>
      </c>
      <c r="E24" s="5">
        <f ca="1" t="shared" si="3"/>
        <v>4.66666666666667</v>
      </c>
      <c r="F24" s="5">
        <f ca="1" t="shared" si="3"/>
        <v>5.19047619047619</v>
      </c>
      <c r="G24" s="5">
        <f ca="1" t="shared" si="3"/>
        <v>6</v>
      </c>
    </row>
    <row r="25" ht="16.2" spans="1:7">
      <c r="A25" s="5" t="s">
        <v>261</v>
      </c>
      <c r="B25" s="5">
        <f ca="1" t="shared" ref="B25:G25" si="4">MAX(B2:B22)</f>
        <v>5</v>
      </c>
      <c r="C25" s="5">
        <f ca="1" t="shared" si="4"/>
        <v>4</v>
      </c>
      <c r="D25" s="5">
        <f ca="1" t="shared" si="4"/>
        <v>6</v>
      </c>
      <c r="E25" s="5">
        <f ca="1" t="shared" si="4"/>
        <v>8</v>
      </c>
      <c r="F25" s="5">
        <f ca="1" t="shared" si="4"/>
        <v>8</v>
      </c>
      <c r="G25" s="5">
        <f ca="1" t="shared" si="4"/>
        <v>10</v>
      </c>
    </row>
    <row r="26" ht="16.2" spans="1:7">
      <c r="A26" s="5" t="s">
        <v>262</v>
      </c>
      <c r="B26" s="5">
        <f ca="1" t="shared" ref="B26:G26" si="5">MIN(B2:B22)</f>
        <v>2</v>
      </c>
      <c r="C26" s="5">
        <f ca="1" t="shared" si="5"/>
        <v>0</v>
      </c>
      <c r="D26" s="5">
        <f ca="1" t="shared" si="5"/>
        <v>2</v>
      </c>
      <c r="E26" s="5">
        <f ca="1" t="shared" si="5"/>
        <v>2</v>
      </c>
      <c r="F26" s="5">
        <f ca="1" t="shared" si="5"/>
        <v>2</v>
      </c>
      <c r="G26" s="5">
        <f ca="1" t="shared" si="5"/>
        <v>2</v>
      </c>
    </row>
    <row r="27" ht="16.2" spans="1:7">
      <c r="A27" s="9" t="s">
        <v>263</v>
      </c>
      <c r="B27" s="9">
        <f ca="1" t="shared" ref="B27:G27" si="6">SUM(B2:B8)</f>
        <v>19</v>
      </c>
      <c r="C27" s="9">
        <f ca="1" t="shared" si="6"/>
        <v>10</v>
      </c>
      <c r="D27" s="9">
        <f ca="1" t="shared" si="6"/>
        <v>20</v>
      </c>
      <c r="E27" s="9">
        <f ca="1" t="shared" si="6"/>
        <v>23</v>
      </c>
      <c r="F27" s="9">
        <f ca="1" t="shared" si="6"/>
        <v>29</v>
      </c>
      <c r="G27" s="9">
        <f ca="1" t="shared" si="6"/>
        <v>30</v>
      </c>
    </row>
    <row r="28" ht="16.2" spans="1:7">
      <c r="A28" s="9" t="s">
        <v>264</v>
      </c>
      <c r="B28" s="9">
        <f ca="1" t="shared" ref="B28:G28" si="7">B27/7</f>
        <v>2.71428571428571</v>
      </c>
      <c r="C28" s="9">
        <f ca="1" t="shared" si="7"/>
        <v>1.42857142857143</v>
      </c>
      <c r="D28" s="9">
        <f ca="1" t="shared" si="7"/>
        <v>2.85714285714286</v>
      </c>
      <c r="E28" s="9">
        <f ca="1" t="shared" si="7"/>
        <v>3.28571428571429</v>
      </c>
      <c r="F28" s="9">
        <f ca="1" t="shared" si="7"/>
        <v>4.14285714285714</v>
      </c>
      <c r="G28" s="9">
        <f ca="1" t="shared" si="7"/>
        <v>4.28571428571429</v>
      </c>
    </row>
    <row r="29" ht="16.2" spans="1:7">
      <c r="A29" s="9" t="s">
        <v>265</v>
      </c>
      <c r="B29" s="9">
        <f ca="1" t="shared" ref="B29:G29" si="8">MAX(B2:B8)</f>
        <v>4</v>
      </c>
      <c r="C29" s="9">
        <f ca="1" t="shared" si="8"/>
        <v>2</v>
      </c>
      <c r="D29" s="9">
        <f ca="1" t="shared" si="8"/>
        <v>4</v>
      </c>
      <c r="E29" s="9">
        <f ca="1" t="shared" si="8"/>
        <v>4</v>
      </c>
      <c r="F29" s="9">
        <f ca="1" t="shared" si="8"/>
        <v>5</v>
      </c>
      <c r="G29" s="9">
        <f ca="1" t="shared" si="8"/>
        <v>6</v>
      </c>
    </row>
    <row r="30" ht="16.2" spans="1:7">
      <c r="A30" s="9" t="s">
        <v>266</v>
      </c>
      <c r="B30" s="9">
        <f ca="1" t="shared" ref="B30:G30" si="9">MIN(B2:B8)</f>
        <v>2</v>
      </c>
      <c r="C30" s="9">
        <f ca="1" t="shared" si="9"/>
        <v>0</v>
      </c>
      <c r="D30" s="9">
        <f ca="1" t="shared" si="9"/>
        <v>2</v>
      </c>
      <c r="E30" s="9">
        <f ca="1" t="shared" si="9"/>
        <v>2</v>
      </c>
      <c r="F30" s="9">
        <f ca="1" t="shared" si="9"/>
        <v>2</v>
      </c>
      <c r="G30" s="9">
        <f ca="1" t="shared" si="9"/>
        <v>2</v>
      </c>
    </row>
    <row r="31" ht="16.2" spans="1:7">
      <c r="A31" s="13" t="s">
        <v>267</v>
      </c>
      <c r="B31" s="13">
        <f ca="1" t="shared" ref="B31:G31" si="10">SUM(B9:B15)</f>
        <v>22</v>
      </c>
      <c r="C31" s="13">
        <f ca="1" t="shared" si="10"/>
        <v>13</v>
      </c>
      <c r="D31" s="13">
        <f ca="1" t="shared" si="10"/>
        <v>27</v>
      </c>
      <c r="E31" s="13">
        <f ca="1" t="shared" si="10"/>
        <v>30</v>
      </c>
      <c r="F31" s="13">
        <f ca="1" t="shared" si="10"/>
        <v>35</v>
      </c>
      <c r="G31" s="13">
        <f ca="1" t="shared" si="10"/>
        <v>40</v>
      </c>
    </row>
    <row r="32" ht="16.2" spans="1:7">
      <c r="A32" s="13" t="s">
        <v>268</v>
      </c>
      <c r="B32" s="13">
        <f ca="1" t="shared" ref="B32:G32" si="11">B31/7</f>
        <v>3.14285714285714</v>
      </c>
      <c r="C32" s="13">
        <f ca="1" t="shared" si="11"/>
        <v>1.85714285714286</v>
      </c>
      <c r="D32" s="13">
        <f ca="1" t="shared" si="11"/>
        <v>3.85714285714286</v>
      </c>
      <c r="E32" s="13">
        <f ca="1" t="shared" si="11"/>
        <v>4.28571428571429</v>
      </c>
      <c r="F32" s="13">
        <f ca="1" t="shared" si="11"/>
        <v>5</v>
      </c>
      <c r="G32" s="13">
        <f ca="1" t="shared" si="11"/>
        <v>5.71428571428571</v>
      </c>
    </row>
    <row r="33" ht="16.2" spans="1:7">
      <c r="A33" s="13" t="s">
        <v>269</v>
      </c>
      <c r="B33" s="13">
        <f ca="1" t="shared" ref="B33:G33" si="12">MAX(B9:B15)</f>
        <v>4</v>
      </c>
      <c r="C33" s="13">
        <f ca="1" t="shared" si="12"/>
        <v>3</v>
      </c>
      <c r="D33" s="13">
        <f ca="1" t="shared" si="12"/>
        <v>5</v>
      </c>
      <c r="E33" s="13">
        <f ca="1" t="shared" si="12"/>
        <v>5</v>
      </c>
      <c r="F33" s="13">
        <f ca="1" t="shared" si="12"/>
        <v>6</v>
      </c>
      <c r="G33" s="13">
        <f ca="1" t="shared" si="12"/>
        <v>8</v>
      </c>
    </row>
    <row r="34" ht="16.2" spans="1:7">
      <c r="A34" s="13" t="s">
        <v>270</v>
      </c>
      <c r="B34" s="13">
        <f ca="1" t="shared" ref="B34:G34" si="13">MIN(B9:B15)</f>
        <v>2</v>
      </c>
      <c r="C34" s="13">
        <f ca="1" t="shared" si="13"/>
        <v>0</v>
      </c>
      <c r="D34" s="13">
        <f ca="1" t="shared" si="13"/>
        <v>3</v>
      </c>
      <c r="E34" s="13">
        <f ca="1" t="shared" si="13"/>
        <v>3</v>
      </c>
      <c r="F34" s="13">
        <f ca="1" t="shared" si="13"/>
        <v>3</v>
      </c>
      <c r="G34" s="13">
        <f ca="1" t="shared" si="13"/>
        <v>3</v>
      </c>
    </row>
    <row r="35" ht="16.2" spans="1:7">
      <c r="A35" s="14" t="s">
        <v>271</v>
      </c>
      <c r="B35" s="14">
        <f ca="1" t="shared" ref="B35:G35" si="14">SUM(B17:B20)</f>
        <v>15</v>
      </c>
      <c r="C35" s="14">
        <f ca="1" t="shared" si="14"/>
        <v>8</v>
      </c>
      <c r="D35" s="14">
        <f ca="1" t="shared" si="14"/>
        <v>20</v>
      </c>
      <c r="E35" s="14">
        <f ca="1" t="shared" si="14"/>
        <v>23</v>
      </c>
      <c r="F35" s="14">
        <f ca="1" t="shared" si="14"/>
        <v>23</v>
      </c>
      <c r="G35" s="14">
        <f ca="1" t="shared" si="14"/>
        <v>28</v>
      </c>
    </row>
    <row r="36" ht="16.2" spans="1:7">
      <c r="A36" s="15" t="s">
        <v>272</v>
      </c>
      <c r="B36" s="15">
        <f ca="1" t="shared" ref="B36:G36" si="15">B35/4</f>
        <v>3.75</v>
      </c>
      <c r="C36" s="15">
        <f ca="1" t="shared" si="15"/>
        <v>2</v>
      </c>
      <c r="D36" s="15">
        <f ca="1" t="shared" si="15"/>
        <v>5</v>
      </c>
      <c r="E36" s="15">
        <f ca="1" t="shared" si="15"/>
        <v>5.75</v>
      </c>
      <c r="F36" s="15">
        <f ca="1" t="shared" si="15"/>
        <v>5.75</v>
      </c>
      <c r="G36" s="15">
        <f ca="1" t="shared" si="15"/>
        <v>7</v>
      </c>
    </row>
    <row r="37" ht="16.2" spans="1:7">
      <c r="A37" s="14" t="s">
        <v>273</v>
      </c>
      <c r="B37" s="14">
        <f ca="1" t="shared" ref="B37:G37" si="16">MAX(B17:B20)</f>
        <v>5</v>
      </c>
      <c r="C37" s="14">
        <f ca="1" t="shared" si="16"/>
        <v>3</v>
      </c>
      <c r="D37" s="14">
        <f ca="1" t="shared" si="16"/>
        <v>5</v>
      </c>
      <c r="E37" s="14">
        <f ca="1" t="shared" si="16"/>
        <v>6</v>
      </c>
      <c r="F37" s="14">
        <f ca="1" t="shared" si="16"/>
        <v>7</v>
      </c>
      <c r="G37" s="14">
        <f ca="1" t="shared" si="16"/>
        <v>8</v>
      </c>
    </row>
    <row r="38" ht="16.2" spans="1:7">
      <c r="A38" s="14" t="s">
        <v>274</v>
      </c>
      <c r="B38" s="14">
        <f ca="1" t="shared" ref="B38:G38" si="17">MIN(B17:B20)</f>
        <v>2</v>
      </c>
      <c r="C38" s="14">
        <f ca="1" t="shared" si="17"/>
        <v>1</v>
      </c>
      <c r="D38" s="14">
        <f ca="1" t="shared" si="17"/>
        <v>5</v>
      </c>
      <c r="E38" s="14">
        <f ca="1" t="shared" si="17"/>
        <v>5</v>
      </c>
      <c r="F38" s="14">
        <f ca="1" t="shared" si="17"/>
        <v>3</v>
      </c>
      <c r="G38" s="14">
        <f ca="1" t="shared" si="17"/>
        <v>6</v>
      </c>
    </row>
    <row r="39" ht="16.2" spans="1:7">
      <c r="A39" s="19" t="s">
        <v>275</v>
      </c>
      <c r="B39" s="19">
        <f ca="1" t="shared" ref="B39:G39" si="18">SUM(B21:B22)</f>
        <v>9</v>
      </c>
      <c r="C39" s="19">
        <f ca="1" t="shared" si="18"/>
        <v>7</v>
      </c>
      <c r="D39" s="19">
        <f ca="1" t="shared" si="18"/>
        <v>12</v>
      </c>
      <c r="E39" s="19">
        <f ca="1" t="shared" si="18"/>
        <v>16</v>
      </c>
      <c r="F39" s="19">
        <f ca="1" t="shared" si="18"/>
        <v>16</v>
      </c>
      <c r="G39" s="19">
        <f ca="1" t="shared" si="18"/>
        <v>19</v>
      </c>
    </row>
    <row r="40" ht="16.2" spans="1:7">
      <c r="A40" s="19" t="s">
        <v>276</v>
      </c>
      <c r="B40" s="19">
        <f ca="1" t="shared" ref="B40:G40" si="19">B39/2</f>
        <v>4.5</v>
      </c>
      <c r="C40" s="19">
        <f ca="1" t="shared" si="19"/>
        <v>3.5</v>
      </c>
      <c r="D40" s="19">
        <f ca="1" t="shared" si="19"/>
        <v>6</v>
      </c>
      <c r="E40" s="19">
        <f ca="1" t="shared" si="19"/>
        <v>8</v>
      </c>
      <c r="F40" s="19">
        <f ca="1" t="shared" si="19"/>
        <v>8</v>
      </c>
      <c r="G40" s="19">
        <f ca="1" t="shared" si="19"/>
        <v>9.5</v>
      </c>
    </row>
    <row r="41" ht="16.2" spans="1:7">
      <c r="A41" s="19" t="s">
        <v>277</v>
      </c>
      <c r="B41" s="19">
        <f ca="1" t="shared" ref="B41:G41" si="20">MAX(B21:B22)</f>
        <v>5</v>
      </c>
      <c r="C41" s="19">
        <f ca="1" t="shared" si="20"/>
        <v>4</v>
      </c>
      <c r="D41" s="19">
        <f ca="1" t="shared" si="20"/>
        <v>6</v>
      </c>
      <c r="E41" s="19">
        <f ca="1" t="shared" si="20"/>
        <v>8</v>
      </c>
      <c r="F41" s="19">
        <f ca="1" t="shared" si="20"/>
        <v>8</v>
      </c>
      <c r="G41" s="19">
        <f ca="1" t="shared" si="20"/>
        <v>10</v>
      </c>
    </row>
    <row r="42" ht="16.2" spans="1:7">
      <c r="A42" s="19" t="s">
        <v>278</v>
      </c>
      <c r="B42" s="19">
        <f ca="1" t="shared" ref="B42:G42" si="21">MIN(B21:B22)</f>
        <v>4</v>
      </c>
      <c r="C42" s="19">
        <f ca="1" t="shared" si="21"/>
        <v>3</v>
      </c>
      <c r="D42" s="19">
        <f ca="1" t="shared" si="21"/>
        <v>6</v>
      </c>
      <c r="E42" s="19">
        <f ca="1" t="shared" si="21"/>
        <v>8</v>
      </c>
      <c r="F42" s="19">
        <f ca="1" t="shared" si="21"/>
        <v>8</v>
      </c>
      <c r="G42" s="19">
        <f ca="1" t="shared" si="21"/>
        <v>9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pane ySplit="1" topLeftCell="A2" activePane="bottomLeft" state="frozen"/>
      <selection/>
      <selection pane="bottomLeft" activeCell="H27" sqref="H27"/>
    </sheetView>
  </sheetViews>
  <sheetFormatPr defaultColWidth="9" defaultRowHeight="14.4" outlineLevelCol="6"/>
  <cols>
    <col min="1" max="1" width="17.4444444444444" style="1" customWidth="1"/>
    <col min="6" max="6" width="13" customWidth="1"/>
    <col min="7" max="7" width="16.5555555555556" customWidth="1"/>
  </cols>
  <sheetData>
    <row r="1" ht="16.2" spans="1:7">
      <c r="A1" s="26" t="s">
        <v>19</v>
      </c>
      <c r="B1" s="26" t="s">
        <v>6</v>
      </c>
      <c r="C1" s="26" t="s">
        <v>7</v>
      </c>
      <c r="D1" s="26" t="s">
        <v>8</v>
      </c>
      <c r="E1" s="26" t="s">
        <v>9</v>
      </c>
      <c r="F1" s="5" t="s">
        <v>254</v>
      </c>
      <c r="G1" s="5" t="s">
        <v>255</v>
      </c>
    </row>
    <row r="2" ht="16.2" spans="1:7">
      <c r="A2" s="9" t="s">
        <v>14</v>
      </c>
      <c r="B2" s="9" cm="1">
        <f ca="1" t="array" ref="B2">INDIRECT("装备牌部件!G"&amp;(ROW()-2)*6+4)</f>
        <v>2</v>
      </c>
      <c r="C2" s="9" cm="1">
        <f ca="1" t="array" ref="C2">INDIRECT("装备牌部件!H"&amp;(ROW()-2)*6+4)</f>
        <v>1</v>
      </c>
      <c r="D2" s="9" cm="1">
        <f ca="1" t="array" ref="D2">INDIRECT("装备牌部件!I"&amp;(ROW()-2)*6+4)</f>
        <v>3</v>
      </c>
      <c r="E2" s="9" cm="1">
        <f ca="1" t="array" ref="E2">INDIRECT("装备牌部件!J"&amp;(ROW()-2)*6+4)</f>
        <v>3</v>
      </c>
      <c r="F2" s="9">
        <f ca="1" t="shared" ref="F2:F22" si="0">B2+C2</f>
        <v>3</v>
      </c>
      <c r="G2" s="9">
        <f ca="1" t="shared" ref="G2:G22" si="1">C2+D2</f>
        <v>4</v>
      </c>
    </row>
    <row r="3" ht="16.2" spans="1:7">
      <c r="A3" s="9" t="s">
        <v>23</v>
      </c>
      <c r="B3" s="9" cm="1">
        <f ca="1" t="array" ref="B3">INDIRECT("装备牌部件!G"&amp;(ROW()-2)*6+4)</f>
        <v>3</v>
      </c>
      <c r="C3" s="9" cm="1">
        <f ca="1" t="array" ref="C3">INDIRECT("装备牌部件!H"&amp;(ROW()-2)*6+4)</f>
        <v>0</v>
      </c>
      <c r="D3" s="9" cm="1">
        <f ca="1" t="array" ref="D3">INDIRECT("装备牌部件!I"&amp;(ROW()-2)*6+4)</f>
        <v>2</v>
      </c>
      <c r="E3" s="9" cm="1">
        <f ca="1" t="array" ref="E3">INDIRECT("装备牌部件!J"&amp;(ROW()-2)*6+4)</f>
        <v>2</v>
      </c>
      <c r="F3" s="9">
        <f ca="1" t="shared" si="0"/>
        <v>3</v>
      </c>
      <c r="G3" s="9">
        <f ca="1" t="shared" si="1"/>
        <v>2</v>
      </c>
    </row>
    <row r="4" ht="16.2" spans="1:7">
      <c r="A4" s="9" t="s">
        <v>30</v>
      </c>
      <c r="B4" s="9" cm="1">
        <f ca="1" t="array" ref="B4">INDIRECT("装备牌部件!G"&amp;(ROW()-2)*6+4)</f>
        <v>2</v>
      </c>
      <c r="C4" s="9" cm="1">
        <f ca="1" t="array" ref="C4">INDIRECT("装备牌部件!H"&amp;(ROW()-2)*6+4)</f>
        <v>1</v>
      </c>
      <c r="D4" s="9" cm="1">
        <f ca="1" t="array" ref="D4">INDIRECT("装备牌部件!I"&amp;(ROW()-2)*6+4)</f>
        <v>2</v>
      </c>
      <c r="E4" s="9" cm="1">
        <f ca="1" t="array" ref="E4">INDIRECT("装备牌部件!J"&amp;(ROW()-2)*6+4)</f>
        <v>2</v>
      </c>
      <c r="F4" s="9">
        <f ca="1" t="shared" si="0"/>
        <v>3</v>
      </c>
      <c r="G4" s="9">
        <f ca="1" t="shared" si="1"/>
        <v>3</v>
      </c>
    </row>
    <row r="5" ht="16.2" spans="1:7">
      <c r="A5" s="9" t="s">
        <v>37</v>
      </c>
      <c r="B5" s="9" cm="1">
        <f ca="1" t="array" ref="B5">INDIRECT("装备牌部件!G"&amp;(ROW()-2)*6+4)</f>
        <v>4</v>
      </c>
      <c r="C5" s="9" cm="1">
        <f ca="1" t="array" ref="C5">INDIRECT("装备牌部件!H"&amp;(ROW()-2)*6+4)</f>
        <v>-1</v>
      </c>
      <c r="D5" s="9" cm="1">
        <f ca="1" t="array" ref="D5">INDIRECT("装备牌部件!I"&amp;(ROW()-2)*6+4)</f>
        <v>2</v>
      </c>
      <c r="E5" s="9" cm="1">
        <f ca="1" t="array" ref="E5">INDIRECT("装备牌部件!J"&amp;(ROW()-2)*6+4)</f>
        <v>2</v>
      </c>
      <c r="F5" s="9">
        <f ca="1" t="shared" si="0"/>
        <v>3</v>
      </c>
      <c r="G5" s="9">
        <f ca="1" t="shared" si="1"/>
        <v>1</v>
      </c>
    </row>
    <row r="6" ht="16.2" spans="1:7">
      <c r="A6" s="9" t="s">
        <v>41</v>
      </c>
      <c r="B6" s="9" cm="1">
        <f ca="1" t="array" ref="B6">INDIRECT("装备牌部件!G"&amp;(ROW()-2)*6+4)</f>
        <v>2</v>
      </c>
      <c r="C6" s="9" cm="1">
        <f ca="1" t="array" ref="C6">INDIRECT("装备牌部件!H"&amp;(ROW()-2)*6+4)</f>
        <v>0</v>
      </c>
      <c r="D6" s="9" cm="1">
        <f ca="1" t="array" ref="D6">INDIRECT("装备牌部件!I"&amp;(ROW()-2)*6+4)</f>
        <v>2</v>
      </c>
      <c r="E6" s="9" cm="1">
        <f ca="1" t="array" ref="E6">INDIRECT("装备牌部件!J"&amp;(ROW()-2)*6+4)</f>
        <v>2</v>
      </c>
      <c r="F6" s="9">
        <f ca="1" t="shared" si="0"/>
        <v>2</v>
      </c>
      <c r="G6" s="9">
        <f ca="1" t="shared" si="1"/>
        <v>2</v>
      </c>
    </row>
    <row r="7" ht="16.2" spans="1:7">
      <c r="A7" s="9" t="s">
        <v>47</v>
      </c>
      <c r="B7" s="9" cm="1">
        <f ca="1" t="array" ref="B7">INDIRECT("装备牌部件!G"&amp;(ROW()-2)*6+4)</f>
        <v>1</v>
      </c>
      <c r="C7" s="9" cm="1">
        <f ca="1" t="array" ref="C7">INDIRECT("装备牌部件!H"&amp;(ROW()-2)*6+4)</f>
        <v>1</v>
      </c>
      <c r="D7" s="9" cm="1">
        <f ca="1" t="array" ref="D7">INDIRECT("装备牌部件!I"&amp;(ROW()-2)*6+4)</f>
        <v>2</v>
      </c>
      <c r="E7" s="9" cm="1">
        <f ca="1" t="array" ref="E7">INDIRECT("装备牌部件!J"&amp;(ROW()-2)*6+4)</f>
        <v>2</v>
      </c>
      <c r="F7" s="9">
        <f ca="1" t="shared" si="0"/>
        <v>2</v>
      </c>
      <c r="G7" s="9">
        <f ca="1" t="shared" si="1"/>
        <v>3</v>
      </c>
    </row>
    <row r="8" ht="16.2" spans="1:7">
      <c r="A8" s="9" t="s">
        <v>54</v>
      </c>
      <c r="B8" s="9" cm="1">
        <f ca="1" t="array" ref="B8">INDIRECT("装备牌部件!G"&amp;(ROW()-2)*6+4)</f>
        <v>2</v>
      </c>
      <c r="C8" s="9" cm="1">
        <f ca="1" t="array" ref="C8">INDIRECT("装备牌部件!H"&amp;(ROW()-2)*6+4)</f>
        <v>2</v>
      </c>
      <c r="D8" s="9" cm="1">
        <f ca="1" t="array" ref="D8">INDIRECT("装备牌部件!I"&amp;(ROW()-2)*6+4)</f>
        <v>3</v>
      </c>
      <c r="E8" s="9" cm="1">
        <f ca="1" t="array" ref="E8">INDIRECT("装备牌部件!J"&amp;(ROW()-2)*6+4)</f>
        <v>3</v>
      </c>
      <c r="F8" s="9">
        <f ca="1" t="shared" si="0"/>
        <v>4</v>
      </c>
      <c r="G8" s="9">
        <f ca="1" t="shared" si="1"/>
        <v>5</v>
      </c>
    </row>
    <row r="9" ht="16.2" spans="1:7">
      <c r="A9" s="28" t="s">
        <v>59</v>
      </c>
      <c r="B9" s="28" cm="1">
        <f ca="1" t="array" ref="B9">INDIRECT("装备牌部件!G"&amp;(ROW()-2)*6+4)</f>
        <v>3</v>
      </c>
      <c r="C9" s="28" cm="1">
        <f ca="1" t="array" ref="C9">INDIRECT("装备牌部件!H"&amp;(ROW()-2)*6+4)</f>
        <v>1</v>
      </c>
      <c r="D9" s="28" cm="1">
        <f ca="1" t="array" ref="D9">INDIRECT("装备牌部件!I"&amp;(ROW()-2)*6+4)</f>
        <v>4</v>
      </c>
      <c r="E9" s="28" cm="1">
        <f ca="1" t="array" ref="E9">INDIRECT("装备牌部件!J"&amp;(ROW()-2)*6+4)</f>
        <v>4</v>
      </c>
      <c r="F9" s="13">
        <f ca="1" t="shared" si="0"/>
        <v>4</v>
      </c>
      <c r="G9" s="13">
        <f ca="1" t="shared" si="1"/>
        <v>5</v>
      </c>
    </row>
    <row r="10" ht="16.2" spans="1:7">
      <c r="A10" s="28" t="s">
        <v>63</v>
      </c>
      <c r="B10" s="28" cm="1">
        <f ca="1" t="array" ref="B10">INDIRECT("装备牌部件!G"&amp;(ROW()-2)*6+4)</f>
        <v>3</v>
      </c>
      <c r="C10" s="28" cm="1">
        <f ca="1" t="array" ref="C10">INDIRECT("装备牌部件!H"&amp;(ROW()-2)*6+4)</f>
        <v>1</v>
      </c>
      <c r="D10" s="28" cm="1">
        <f ca="1" t="array" ref="D10">INDIRECT("装备牌部件!I"&amp;(ROW()-2)*6+4)</f>
        <v>3</v>
      </c>
      <c r="E10" s="28" cm="1">
        <f ca="1" t="array" ref="E10">INDIRECT("装备牌部件!J"&amp;(ROW()-2)*6+4)</f>
        <v>3</v>
      </c>
      <c r="F10" s="13">
        <f ca="1" t="shared" si="0"/>
        <v>4</v>
      </c>
      <c r="G10" s="13">
        <f ca="1" t="shared" si="1"/>
        <v>4</v>
      </c>
    </row>
    <row r="11" ht="16.2" spans="1:7">
      <c r="A11" s="28" t="s">
        <v>69</v>
      </c>
      <c r="B11" s="28" cm="1">
        <f ca="1" t="array" ref="B11">INDIRECT("装备牌部件!G"&amp;(ROW()-2)*6+4)</f>
        <v>3</v>
      </c>
      <c r="C11" s="28" cm="1">
        <f ca="1" t="array" ref="C11">INDIRECT("装备牌部件!H"&amp;(ROW()-2)*6+4)</f>
        <v>1</v>
      </c>
      <c r="D11" s="28" cm="1">
        <f ca="1" t="array" ref="D11">INDIRECT("装备牌部件!I"&amp;(ROW()-2)*6+4)</f>
        <v>3</v>
      </c>
      <c r="E11" s="28" cm="1">
        <f ca="1" t="array" ref="E11">INDIRECT("装备牌部件!J"&amp;(ROW()-2)*6+4)</f>
        <v>3</v>
      </c>
      <c r="F11" s="13">
        <f ca="1" t="shared" si="0"/>
        <v>4</v>
      </c>
      <c r="G11" s="13">
        <f ca="1" t="shared" si="1"/>
        <v>4</v>
      </c>
    </row>
    <row r="12" ht="16.2" spans="1:7">
      <c r="A12" s="28" t="s">
        <v>75</v>
      </c>
      <c r="B12" s="28" cm="1">
        <f ca="1" t="array" ref="B12">INDIRECT("装备牌部件!G"&amp;(ROW()-2)*6+4)</f>
        <v>5</v>
      </c>
      <c r="C12" s="28" cm="1">
        <f ca="1" t="array" ref="C12">INDIRECT("装备牌部件!H"&amp;(ROW()-2)*6+4)</f>
        <v>-1</v>
      </c>
      <c r="D12" s="28" cm="1">
        <f ca="1" t="array" ref="D12">INDIRECT("装备牌部件!I"&amp;(ROW()-2)*6+4)</f>
        <v>3</v>
      </c>
      <c r="E12" s="28" cm="1">
        <f ca="1" t="array" ref="E12">INDIRECT("装备牌部件!J"&amp;(ROW()-2)*6+4)</f>
        <v>3</v>
      </c>
      <c r="F12" s="13">
        <f ca="1" t="shared" si="0"/>
        <v>4</v>
      </c>
      <c r="G12" s="13">
        <f ca="1" t="shared" si="1"/>
        <v>2</v>
      </c>
    </row>
    <row r="13" ht="16.2" spans="1:7">
      <c r="A13" s="28" t="s">
        <v>79</v>
      </c>
      <c r="B13" s="28" cm="1">
        <f ca="1" t="array" ref="B13">INDIRECT("装备牌部件!G"&amp;(ROW()-2)*6+4)</f>
        <v>3</v>
      </c>
      <c r="C13" s="28" cm="1">
        <f ca="1" t="array" ref="C13">INDIRECT("装备牌部件!H"&amp;(ROW()-2)*6+4)</f>
        <v>1</v>
      </c>
      <c r="D13" s="28" cm="1">
        <f ca="1" t="array" ref="D13">INDIRECT("装备牌部件!I"&amp;(ROW()-2)*6+4)</f>
        <v>3</v>
      </c>
      <c r="E13" s="28" cm="1">
        <f ca="1" t="array" ref="E13">INDIRECT("装备牌部件!J"&amp;(ROW()-2)*6+4)</f>
        <v>3</v>
      </c>
      <c r="F13" s="13">
        <f ca="1" t="shared" si="0"/>
        <v>4</v>
      </c>
      <c r="G13" s="13">
        <f ca="1" t="shared" si="1"/>
        <v>4</v>
      </c>
    </row>
    <row r="14" ht="16.2" spans="1:7">
      <c r="A14" s="28" t="s">
        <v>256</v>
      </c>
      <c r="B14" s="28" cm="1">
        <f ca="1" t="array" ref="B14">INDIRECT("装备牌部件!G"&amp;(ROW()-2)*6+4)</f>
        <v>2</v>
      </c>
      <c r="C14" s="28" cm="1">
        <f ca="1" t="array" ref="C14">INDIRECT("装备牌部件!H"&amp;(ROW()-2)*6+4)</f>
        <v>1</v>
      </c>
      <c r="D14" s="28" cm="1">
        <f ca="1" t="array" ref="D14">INDIRECT("装备牌部件!I"&amp;(ROW()-2)*6+4)</f>
        <v>3</v>
      </c>
      <c r="E14" s="28" cm="1">
        <f ca="1" t="array" ref="E14">INDIRECT("装备牌部件!J"&amp;(ROW()-2)*6+4)</f>
        <v>3</v>
      </c>
      <c r="F14" s="13">
        <f ca="1" t="shared" si="0"/>
        <v>3</v>
      </c>
      <c r="G14" s="13">
        <f ca="1" t="shared" si="1"/>
        <v>4</v>
      </c>
    </row>
    <row r="15" ht="16.2" spans="1:7">
      <c r="A15" s="28" t="s">
        <v>257</v>
      </c>
      <c r="B15" s="28" cm="1">
        <f ca="1" t="array" ref="B15">INDIRECT("装备牌部件!G"&amp;(ROW()-2)*6+4)</f>
        <v>2</v>
      </c>
      <c r="C15" s="28" cm="1">
        <f ca="1" t="array" ref="C15">INDIRECT("装备牌部件!H"&amp;(ROW()-2)*6+4)</f>
        <v>3</v>
      </c>
      <c r="D15" s="28" cm="1">
        <f ca="1" t="array" ref="D15">INDIRECT("装备牌部件!I"&amp;(ROW()-2)*6+4)</f>
        <v>4</v>
      </c>
      <c r="E15" s="28" cm="1">
        <f ca="1" t="array" ref="E15">INDIRECT("装备牌部件!J"&amp;(ROW()-2)*6+4)</f>
        <v>4</v>
      </c>
      <c r="F15" s="13">
        <f ca="1" t="shared" si="0"/>
        <v>5</v>
      </c>
      <c r="G15" s="13">
        <f ca="1" t="shared" si="1"/>
        <v>7</v>
      </c>
    </row>
    <row r="16" ht="16.2" spans="1:7">
      <c r="A16" s="14" t="s">
        <v>98</v>
      </c>
      <c r="B16" s="15" cm="1">
        <f ca="1" t="array" ref="B16">INDIRECT("装备牌部件!G"&amp;(ROW()-2)*6+4)</f>
        <v>4</v>
      </c>
      <c r="C16" s="15" cm="1">
        <f ca="1" t="array" ref="C16">INDIRECT("装备牌部件!H"&amp;(ROW()-2)*6+4)</f>
        <v>1</v>
      </c>
      <c r="D16" s="15" cm="1">
        <f ca="1" t="array" ref="D16">INDIRECT("装备牌部件!I"&amp;(ROW()-2)*6+4)</f>
        <v>5</v>
      </c>
      <c r="E16" s="15" cm="1">
        <f ca="1" t="array" ref="E16">INDIRECT("装备牌部件!J"&amp;(ROW()-2)*6+4)</f>
        <v>5</v>
      </c>
      <c r="F16" s="15">
        <f ca="1" t="shared" si="0"/>
        <v>5</v>
      </c>
      <c r="G16" s="15">
        <f ca="1" t="shared" si="1"/>
        <v>6</v>
      </c>
    </row>
    <row r="17" ht="16.2" spans="1:7">
      <c r="A17" s="15" t="s">
        <v>103</v>
      </c>
      <c r="B17" s="15" cm="1">
        <f ca="1" t="array" ref="B17">INDIRECT("装备牌部件!G"&amp;(ROW()-2)*6+4)</f>
        <v>4</v>
      </c>
      <c r="C17" s="15" cm="1">
        <f ca="1" t="array" ref="C17">INDIRECT("装备牌部件!H"&amp;(ROW()-2)*6+4)</f>
        <v>1</v>
      </c>
      <c r="D17" s="15" cm="1">
        <f ca="1" t="array" ref="D17">INDIRECT("装备牌部件!I"&amp;(ROW()-2)*6+4)</f>
        <v>4</v>
      </c>
      <c r="E17" s="15" cm="1">
        <f ca="1" t="array" ref="E17">INDIRECT("装备牌部件!J"&amp;(ROW()-2)*6+4)</f>
        <v>4</v>
      </c>
      <c r="F17" s="15">
        <f ca="1" t="shared" si="0"/>
        <v>5</v>
      </c>
      <c r="G17" s="15">
        <f ca="1" t="shared" si="1"/>
        <v>5</v>
      </c>
    </row>
    <row r="18" ht="16.2" spans="1:7">
      <c r="A18" s="15" t="s">
        <v>108</v>
      </c>
      <c r="B18" s="15" cm="1">
        <f ca="1" t="array" ref="B18">INDIRECT("装备牌部件!G"&amp;(ROW()-2)*6+4)</f>
        <v>2</v>
      </c>
      <c r="C18" s="15" cm="1">
        <f ca="1" t="array" ref="C18">INDIRECT("装备牌部件!H"&amp;(ROW()-2)*6+4)</f>
        <v>2</v>
      </c>
      <c r="D18" s="15" cm="1">
        <f ca="1" t="array" ref="D18">INDIRECT("装备牌部件!I"&amp;(ROW()-2)*6+4)</f>
        <v>4</v>
      </c>
      <c r="E18" s="15" cm="1">
        <f ca="1" t="array" ref="E18">INDIRECT("装备牌部件!J"&amp;(ROW()-2)*6+4)</f>
        <v>4</v>
      </c>
      <c r="F18" s="15">
        <f ca="1" t="shared" si="0"/>
        <v>4</v>
      </c>
      <c r="G18" s="15">
        <f ca="1" t="shared" si="1"/>
        <v>6</v>
      </c>
    </row>
    <row r="19" ht="16.2" spans="1:7">
      <c r="A19" s="15" t="s">
        <v>112</v>
      </c>
      <c r="B19" s="15" cm="1">
        <f ca="1" t="array" ref="B19">INDIRECT("装备牌部件!G"&amp;(ROW()-2)*6+4)</f>
        <v>6</v>
      </c>
      <c r="C19" s="15" cm="1">
        <f ca="1" t="array" ref="C19">INDIRECT("装备牌部件!H"&amp;(ROW()-2)*6+4)</f>
        <v>-1</v>
      </c>
      <c r="D19" s="15" cm="1">
        <f ca="1" t="array" ref="D19">INDIRECT("装备牌部件!I"&amp;(ROW()-2)*6+4)</f>
        <v>4</v>
      </c>
      <c r="E19" s="15" cm="1">
        <f ca="1" t="array" ref="E19">INDIRECT("装备牌部件!J"&amp;(ROW()-2)*6+4)</f>
        <v>4</v>
      </c>
      <c r="F19" s="15">
        <f ca="1" t="shared" si="0"/>
        <v>5</v>
      </c>
      <c r="G19" s="15">
        <f ca="1" t="shared" si="1"/>
        <v>3</v>
      </c>
    </row>
    <row r="20" ht="16.2" spans="1:7">
      <c r="A20" s="15" t="s">
        <v>258</v>
      </c>
      <c r="B20" s="15" cm="1">
        <f ca="1" t="array" ref="B20">INDIRECT("装备牌部件!G"&amp;(ROW()-2)*6+4)</f>
        <v>3</v>
      </c>
      <c r="C20" s="15" cm="1">
        <f ca="1" t="array" ref="C20">INDIRECT("装备牌部件!H"&amp;(ROW()-2)*6+4)</f>
        <v>3</v>
      </c>
      <c r="D20" s="15" cm="1">
        <f ca="1" t="array" ref="D20">INDIRECT("装备牌部件!I"&amp;(ROW()-2)*6+4)</f>
        <v>4</v>
      </c>
      <c r="E20" s="15" cm="1">
        <f ca="1" t="array" ref="E20">INDIRECT("装备牌部件!J"&amp;(ROW()-2)*6+4)</f>
        <v>5</v>
      </c>
      <c r="F20" s="15">
        <f ca="1" t="shared" si="0"/>
        <v>6</v>
      </c>
      <c r="G20" s="15">
        <f ca="1" t="shared" si="1"/>
        <v>7</v>
      </c>
    </row>
    <row r="21" ht="16.2" spans="1:7">
      <c r="A21" s="29" t="s">
        <v>124</v>
      </c>
      <c r="B21" s="29" cm="1">
        <f ca="1" t="array" ref="B21">INDIRECT("装备牌部件!G"&amp;(ROW()-2)*6+4)</f>
        <v>5</v>
      </c>
      <c r="C21" s="29" cm="1">
        <f ca="1" t="array" ref="C21">INDIRECT("装备牌部件!H"&amp;(ROW()-2)*6+4)</f>
        <v>1</v>
      </c>
      <c r="D21" s="29" cm="1">
        <f ca="1" t="array" ref="D21">INDIRECT("装备牌部件!I"&amp;(ROW()-2)*6+4)</f>
        <v>5</v>
      </c>
      <c r="E21" s="29" cm="1">
        <f ca="1" t="array" ref="E21">INDIRECT("装备牌部件!J"&amp;(ROW()-2)*6+4)</f>
        <v>6</v>
      </c>
      <c r="F21" s="19">
        <f ca="1" t="shared" si="0"/>
        <v>6</v>
      </c>
      <c r="G21" s="19">
        <f ca="1" t="shared" si="1"/>
        <v>6</v>
      </c>
    </row>
    <row r="22" ht="16.2" spans="1:7">
      <c r="A22" s="29" t="s">
        <v>132</v>
      </c>
      <c r="B22" s="29" cm="1">
        <f ca="1" t="array" ref="B22">INDIRECT("装备牌部件!G"&amp;(ROW()-2)*6+4)</f>
        <v>3</v>
      </c>
      <c r="C22" s="29" cm="1">
        <f ca="1" t="array" ref="C22">INDIRECT("装备牌部件!H"&amp;(ROW()-2)*6+4)</f>
        <v>2</v>
      </c>
      <c r="D22" s="29" cm="1">
        <f ca="1" t="array" ref="D22">INDIRECT("装备牌部件!I"&amp;(ROW()-2)*6+4)</f>
        <v>5</v>
      </c>
      <c r="E22" s="29" cm="1">
        <f ca="1" t="array" ref="E22">INDIRECT("装备牌部件!J"&amp;(ROW()-2)*6+4)</f>
        <v>6</v>
      </c>
      <c r="F22" s="19">
        <f ca="1" t="shared" si="0"/>
        <v>5</v>
      </c>
      <c r="G22" s="19">
        <f ca="1" t="shared" si="1"/>
        <v>7</v>
      </c>
    </row>
    <row r="23" ht="16.2" spans="1:7">
      <c r="A23" s="5" t="s">
        <v>259</v>
      </c>
      <c r="B23" s="5">
        <f ca="1" t="shared" ref="B23:G23" si="2">SUM(B2:B22)</f>
        <v>64</v>
      </c>
      <c r="C23" s="5">
        <f ca="1" t="shared" si="2"/>
        <v>20</v>
      </c>
      <c r="D23" s="5">
        <f ca="1" t="shared" si="2"/>
        <v>70</v>
      </c>
      <c r="E23" s="5">
        <f ca="1" t="shared" si="2"/>
        <v>73</v>
      </c>
      <c r="F23" s="5">
        <f ca="1" t="shared" si="2"/>
        <v>84</v>
      </c>
      <c r="G23" s="5">
        <f ca="1" t="shared" si="2"/>
        <v>90</v>
      </c>
    </row>
    <row r="24" ht="16.2" spans="1:7">
      <c r="A24" s="5" t="s">
        <v>260</v>
      </c>
      <c r="B24" s="5">
        <f ca="1" t="shared" ref="B24:G24" si="3">B23/21</f>
        <v>3.04761904761905</v>
      </c>
      <c r="C24" s="5">
        <f ca="1" t="shared" si="3"/>
        <v>0.952380952380952</v>
      </c>
      <c r="D24" s="5">
        <f ca="1" t="shared" si="3"/>
        <v>3.33333333333333</v>
      </c>
      <c r="E24" s="5">
        <f ca="1" t="shared" si="3"/>
        <v>3.47619047619048</v>
      </c>
      <c r="F24" s="5">
        <f ca="1" t="shared" si="3"/>
        <v>4</v>
      </c>
      <c r="G24" s="5">
        <f ca="1" t="shared" si="3"/>
        <v>4.28571428571429</v>
      </c>
    </row>
    <row r="25" ht="16.2" spans="1:7">
      <c r="A25" s="5" t="s">
        <v>261</v>
      </c>
      <c r="B25" s="5">
        <f ca="1" t="shared" ref="B25:G25" si="4">MAX(B2:B22)</f>
        <v>6</v>
      </c>
      <c r="C25" s="5">
        <f ca="1" t="shared" si="4"/>
        <v>3</v>
      </c>
      <c r="D25" s="5">
        <f ca="1" t="shared" si="4"/>
        <v>5</v>
      </c>
      <c r="E25" s="5">
        <f ca="1" t="shared" si="4"/>
        <v>6</v>
      </c>
      <c r="F25" s="5">
        <f ca="1" t="shared" si="4"/>
        <v>6</v>
      </c>
      <c r="G25" s="5">
        <f ca="1" t="shared" si="4"/>
        <v>7</v>
      </c>
    </row>
    <row r="26" ht="16.2" spans="1:7">
      <c r="A26" s="5" t="s">
        <v>262</v>
      </c>
      <c r="B26" s="5">
        <f ca="1" t="shared" ref="B26:G26" si="5">MIN(B2:B22)</f>
        <v>1</v>
      </c>
      <c r="C26" s="5">
        <f ca="1" t="shared" si="5"/>
        <v>-1</v>
      </c>
      <c r="D26" s="5">
        <f ca="1" t="shared" si="5"/>
        <v>2</v>
      </c>
      <c r="E26" s="5">
        <f ca="1" t="shared" si="5"/>
        <v>2</v>
      </c>
      <c r="F26" s="5">
        <f ca="1" t="shared" si="5"/>
        <v>2</v>
      </c>
      <c r="G26" s="5">
        <f ca="1" t="shared" si="5"/>
        <v>1</v>
      </c>
    </row>
    <row r="27" ht="16.2" spans="1:7">
      <c r="A27" s="9" t="s">
        <v>263</v>
      </c>
      <c r="B27" s="9">
        <f ca="1" t="shared" ref="B27:G27" si="6">SUM(B2:B8)</f>
        <v>16</v>
      </c>
      <c r="C27" s="9">
        <f ca="1" t="shared" si="6"/>
        <v>4</v>
      </c>
      <c r="D27" s="9">
        <f ca="1" t="shared" si="6"/>
        <v>16</v>
      </c>
      <c r="E27" s="9">
        <f ca="1" t="shared" si="6"/>
        <v>16</v>
      </c>
      <c r="F27" s="9">
        <f ca="1" t="shared" si="6"/>
        <v>20</v>
      </c>
      <c r="G27" s="9">
        <f ca="1" t="shared" si="6"/>
        <v>20</v>
      </c>
    </row>
    <row r="28" ht="16.2" spans="1:7">
      <c r="A28" s="9" t="s">
        <v>264</v>
      </c>
      <c r="B28" s="9">
        <f ca="1" t="shared" ref="B28:G28" si="7">B27/7</f>
        <v>2.28571428571429</v>
      </c>
      <c r="C28" s="9">
        <f ca="1" t="shared" si="7"/>
        <v>0.571428571428571</v>
      </c>
      <c r="D28" s="9">
        <f ca="1" t="shared" si="7"/>
        <v>2.28571428571429</v>
      </c>
      <c r="E28" s="9">
        <f ca="1" t="shared" si="7"/>
        <v>2.28571428571429</v>
      </c>
      <c r="F28" s="9">
        <f ca="1" t="shared" si="7"/>
        <v>2.85714285714286</v>
      </c>
      <c r="G28" s="9">
        <f ca="1" t="shared" si="7"/>
        <v>2.85714285714286</v>
      </c>
    </row>
    <row r="29" ht="16.2" spans="1:7">
      <c r="A29" s="9" t="s">
        <v>265</v>
      </c>
      <c r="B29" s="9">
        <f ca="1" t="shared" ref="B29:G29" si="8">MAX(B2:B8)</f>
        <v>4</v>
      </c>
      <c r="C29" s="9">
        <f ca="1" t="shared" si="8"/>
        <v>2</v>
      </c>
      <c r="D29" s="9">
        <f ca="1" t="shared" si="8"/>
        <v>3</v>
      </c>
      <c r="E29" s="9">
        <f ca="1" t="shared" si="8"/>
        <v>3</v>
      </c>
      <c r="F29" s="9">
        <f ca="1" t="shared" si="8"/>
        <v>4</v>
      </c>
      <c r="G29" s="9">
        <f ca="1" t="shared" si="8"/>
        <v>5</v>
      </c>
    </row>
    <row r="30" ht="16.2" spans="1:7">
      <c r="A30" s="9" t="s">
        <v>266</v>
      </c>
      <c r="B30" s="9">
        <f ca="1" t="shared" ref="B30:G30" si="9">MIN(B2:B8)</f>
        <v>1</v>
      </c>
      <c r="C30" s="9">
        <f ca="1" t="shared" si="9"/>
        <v>-1</v>
      </c>
      <c r="D30" s="9">
        <f ca="1" t="shared" si="9"/>
        <v>2</v>
      </c>
      <c r="E30" s="9">
        <f ca="1" t="shared" si="9"/>
        <v>2</v>
      </c>
      <c r="F30" s="9">
        <f ca="1" t="shared" si="9"/>
        <v>2</v>
      </c>
      <c r="G30" s="9">
        <f ca="1" t="shared" si="9"/>
        <v>1</v>
      </c>
    </row>
    <row r="31" ht="16.2" spans="1:7">
      <c r="A31" s="13" t="s">
        <v>267</v>
      </c>
      <c r="B31" s="13">
        <f ca="1" t="shared" ref="B31:G31" si="10">SUM(B9:B15)</f>
        <v>21</v>
      </c>
      <c r="C31" s="13">
        <f ca="1" t="shared" si="10"/>
        <v>7</v>
      </c>
      <c r="D31" s="13">
        <f ca="1" t="shared" si="10"/>
        <v>23</v>
      </c>
      <c r="E31" s="13">
        <f ca="1" t="shared" si="10"/>
        <v>23</v>
      </c>
      <c r="F31" s="13">
        <f ca="1" t="shared" si="10"/>
        <v>28</v>
      </c>
      <c r="G31" s="13">
        <f ca="1" t="shared" si="10"/>
        <v>30</v>
      </c>
    </row>
    <row r="32" ht="16.2" spans="1:7">
      <c r="A32" s="13" t="s">
        <v>268</v>
      </c>
      <c r="B32" s="13">
        <f ca="1" t="shared" ref="B32:G32" si="11">B31/7</f>
        <v>3</v>
      </c>
      <c r="C32" s="13">
        <f ca="1" t="shared" si="11"/>
        <v>1</v>
      </c>
      <c r="D32" s="13">
        <f ca="1" t="shared" si="11"/>
        <v>3.28571428571429</v>
      </c>
      <c r="E32" s="13">
        <f ca="1" t="shared" si="11"/>
        <v>3.28571428571429</v>
      </c>
      <c r="F32" s="13">
        <f ca="1" t="shared" si="11"/>
        <v>4</v>
      </c>
      <c r="G32" s="13">
        <f ca="1" t="shared" si="11"/>
        <v>4.28571428571429</v>
      </c>
    </row>
    <row r="33" ht="16.2" spans="1:7">
      <c r="A33" s="13" t="s">
        <v>269</v>
      </c>
      <c r="B33" s="13">
        <f ca="1" t="shared" ref="B33:G33" si="12">MAX(B9:B15)</f>
        <v>5</v>
      </c>
      <c r="C33" s="13">
        <f ca="1" t="shared" si="12"/>
        <v>3</v>
      </c>
      <c r="D33" s="13">
        <f ca="1" t="shared" si="12"/>
        <v>4</v>
      </c>
      <c r="E33" s="13">
        <f ca="1" t="shared" si="12"/>
        <v>4</v>
      </c>
      <c r="F33" s="13">
        <f ca="1" t="shared" si="12"/>
        <v>5</v>
      </c>
      <c r="G33" s="13">
        <f ca="1" t="shared" si="12"/>
        <v>7</v>
      </c>
    </row>
    <row r="34" ht="16.2" spans="1:7">
      <c r="A34" s="13" t="s">
        <v>270</v>
      </c>
      <c r="B34" s="13">
        <f ca="1" t="shared" ref="B34:G34" si="13">MIN(B9:B15)</f>
        <v>2</v>
      </c>
      <c r="C34" s="13">
        <f ca="1" t="shared" si="13"/>
        <v>-1</v>
      </c>
      <c r="D34" s="13">
        <f ca="1" t="shared" si="13"/>
        <v>3</v>
      </c>
      <c r="E34" s="13">
        <f ca="1" t="shared" si="13"/>
        <v>3</v>
      </c>
      <c r="F34" s="13">
        <f ca="1" t="shared" si="13"/>
        <v>3</v>
      </c>
      <c r="G34" s="13">
        <f ca="1" t="shared" si="13"/>
        <v>2</v>
      </c>
    </row>
    <row r="35" ht="16.2" spans="1:7">
      <c r="A35" s="15" t="s">
        <v>271</v>
      </c>
      <c r="B35" s="15">
        <f ca="1" t="shared" ref="B35:G35" si="14">SUM(B17:B20)</f>
        <v>15</v>
      </c>
      <c r="C35" s="15">
        <f ca="1" t="shared" si="14"/>
        <v>5</v>
      </c>
      <c r="D35" s="15">
        <f ca="1" t="shared" si="14"/>
        <v>16</v>
      </c>
      <c r="E35" s="15">
        <f ca="1" t="shared" si="14"/>
        <v>17</v>
      </c>
      <c r="F35" s="15">
        <f ca="1" t="shared" si="14"/>
        <v>20</v>
      </c>
      <c r="G35" s="15">
        <f ca="1" t="shared" si="14"/>
        <v>21</v>
      </c>
    </row>
    <row r="36" ht="16.2" spans="1:7">
      <c r="A36" s="15" t="s">
        <v>272</v>
      </c>
      <c r="B36" s="15">
        <f ca="1" t="shared" ref="B36:G36" si="15">B35/4</f>
        <v>3.75</v>
      </c>
      <c r="C36" s="15">
        <f ca="1" t="shared" si="15"/>
        <v>1.25</v>
      </c>
      <c r="D36" s="15">
        <f ca="1" t="shared" si="15"/>
        <v>4</v>
      </c>
      <c r="E36" s="15">
        <f ca="1" t="shared" si="15"/>
        <v>4.25</v>
      </c>
      <c r="F36" s="15">
        <f ca="1" t="shared" si="15"/>
        <v>5</v>
      </c>
      <c r="G36" s="15">
        <f ca="1" t="shared" si="15"/>
        <v>5.25</v>
      </c>
    </row>
    <row r="37" ht="16.2" spans="1:7">
      <c r="A37" s="15" t="s">
        <v>273</v>
      </c>
      <c r="B37" s="15">
        <f ca="1" t="shared" ref="B37:G37" si="16">MAX(B17:B20)</f>
        <v>6</v>
      </c>
      <c r="C37" s="15">
        <f ca="1" t="shared" si="16"/>
        <v>3</v>
      </c>
      <c r="D37" s="15">
        <f ca="1" t="shared" si="16"/>
        <v>4</v>
      </c>
      <c r="E37" s="15">
        <f ca="1" t="shared" si="16"/>
        <v>5</v>
      </c>
      <c r="F37" s="15">
        <f ca="1" t="shared" si="16"/>
        <v>6</v>
      </c>
      <c r="G37" s="15">
        <f ca="1" t="shared" si="16"/>
        <v>7</v>
      </c>
    </row>
    <row r="38" ht="16.2" spans="1:7">
      <c r="A38" s="15" t="s">
        <v>274</v>
      </c>
      <c r="B38" s="15">
        <f ca="1" t="shared" ref="B38:G38" si="17">MIN(B17:B20)</f>
        <v>2</v>
      </c>
      <c r="C38" s="15">
        <f ca="1" t="shared" si="17"/>
        <v>-1</v>
      </c>
      <c r="D38" s="15">
        <f ca="1" t="shared" si="17"/>
        <v>4</v>
      </c>
      <c r="E38" s="15">
        <f ca="1" t="shared" si="17"/>
        <v>4</v>
      </c>
      <c r="F38" s="15">
        <f ca="1" t="shared" si="17"/>
        <v>4</v>
      </c>
      <c r="G38" s="15">
        <f ca="1" t="shared" si="17"/>
        <v>3</v>
      </c>
    </row>
    <row r="39" ht="16.2" spans="1:7">
      <c r="A39" s="19" t="s">
        <v>275</v>
      </c>
      <c r="B39" s="19">
        <f ca="1" t="shared" ref="B39:G39" si="18">SUM(B21:B22)</f>
        <v>8</v>
      </c>
      <c r="C39" s="19">
        <f ca="1" t="shared" si="18"/>
        <v>3</v>
      </c>
      <c r="D39" s="19">
        <f ca="1" t="shared" si="18"/>
        <v>10</v>
      </c>
      <c r="E39" s="19">
        <f ca="1" t="shared" si="18"/>
        <v>12</v>
      </c>
      <c r="F39" s="19">
        <f ca="1" t="shared" si="18"/>
        <v>11</v>
      </c>
      <c r="G39" s="19">
        <f ca="1" t="shared" si="18"/>
        <v>13</v>
      </c>
    </row>
    <row r="40" ht="16.2" spans="1:7">
      <c r="A40" s="19" t="s">
        <v>276</v>
      </c>
      <c r="B40" s="19">
        <f ca="1" t="shared" ref="B40:G40" si="19">B39/2</f>
        <v>4</v>
      </c>
      <c r="C40" s="19">
        <f ca="1" t="shared" si="19"/>
        <v>1.5</v>
      </c>
      <c r="D40" s="19">
        <f ca="1" t="shared" si="19"/>
        <v>5</v>
      </c>
      <c r="E40" s="19">
        <f ca="1" t="shared" si="19"/>
        <v>6</v>
      </c>
      <c r="F40" s="19">
        <f ca="1" t="shared" si="19"/>
        <v>5.5</v>
      </c>
      <c r="G40" s="19">
        <f ca="1" t="shared" si="19"/>
        <v>6.5</v>
      </c>
    </row>
    <row r="41" ht="16.2" spans="1:7">
      <c r="A41" s="19" t="s">
        <v>277</v>
      </c>
      <c r="B41" s="19">
        <f ca="1" t="shared" ref="B41:G41" si="20">MAX(B21:B22)</f>
        <v>5</v>
      </c>
      <c r="C41" s="19">
        <f ca="1" t="shared" si="20"/>
        <v>2</v>
      </c>
      <c r="D41" s="19">
        <f ca="1" t="shared" si="20"/>
        <v>5</v>
      </c>
      <c r="E41" s="19">
        <f ca="1" t="shared" si="20"/>
        <v>6</v>
      </c>
      <c r="F41" s="19">
        <f ca="1" t="shared" si="20"/>
        <v>6</v>
      </c>
      <c r="G41" s="19">
        <f ca="1" t="shared" si="20"/>
        <v>7</v>
      </c>
    </row>
    <row r="42" ht="16.2" spans="1:7">
      <c r="A42" s="19" t="s">
        <v>278</v>
      </c>
      <c r="B42" s="19">
        <f ca="1" t="shared" ref="B42:G42" si="21">MIN(B21:B22)</f>
        <v>3</v>
      </c>
      <c r="C42" s="19">
        <f ca="1" t="shared" si="21"/>
        <v>1</v>
      </c>
      <c r="D42" s="19">
        <f ca="1" t="shared" si="21"/>
        <v>5</v>
      </c>
      <c r="E42" s="19">
        <f ca="1" t="shared" si="21"/>
        <v>6</v>
      </c>
      <c r="F42" s="19">
        <f ca="1" t="shared" si="21"/>
        <v>5</v>
      </c>
      <c r="G42" s="19">
        <f ca="1" t="shared" si="21"/>
        <v>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pane ySplit="1" topLeftCell="A14" activePane="bottomLeft" state="frozen"/>
      <selection/>
      <selection pane="bottomLeft" activeCell="M29" sqref="M29"/>
    </sheetView>
  </sheetViews>
  <sheetFormatPr defaultColWidth="9" defaultRowHeight="14.4" outlineLevelCol="6"/>
  <cols>
    <col min="1" max="1" width="17.4444444444444" style="1" customWidth="1"/>
    <col min="6" max="6" width="13" customWidth="1"/>
    <col min="7" max="7" width="16.5555555555556" customWidth="1"/>
  </cols>
  <sheetData>
    <row r="1" ht="16.2" spans="1:7">
      <c r="A1" s="26" t="s">
        <v>20</v>
      </c>
      <c r="B1" s="26" t="s">
        <v>6</v>
      </c>
      <c r="C1" s="26" t="s">
        <v>7</v>
      </c>
      <c r="D1" s="26" t="s">
        <v>8</v>
      </c>
      <c r="E1" s="26" t="s">
        <v>9</v>
      </c>
      <c r="F1" s="5" t="s">
        <v>254</v>
      </c>
      <c r="G1" s="5" t="s">
        <v>255</v>
      </c>
    </row>
    <row r="2" ht="16.2" spans="1:7">
      <c r="A2" s="27" t="s">
        <v>14</v>
      </c>
      <c r="B2" s="27" cm="1">
        <f ca="1" t="array" ref="B2">INDIRECT("装备牌部件!G"&amp;(ROW()-2)*6+5)</f>
        <v>2</v>
      </c>
      <c r="C2" s="27" cm="1">
        <f ca="1" t="array" ref="C2">INDIRECT("装备牌部件!H"&amp;(ROW()-2)*6+5)</f>
        <v>1</v>
      </c>
      <c r="D2" s="27" cm="1">
        <f ca="1" t="array" ref="D2">INDIRECT("装备牌部件!I"&amp;(ROW()-2)*6+5)</f>
        <v>3</v>
      </c>
      <c r="E2" s="27" cm="1">
        <f ca="1" t="array" ref="E2">INDIRECT("装备牌部件!J"&amp;(ROW()-2)*6+5)</f>
        <v>3</v>
      </c>
      <c r="F2" s="9">
        <f ca="1" t="shared" ref="F2:F22" si="0">B2+C2</f>
        <v>3</v>
      </c>
      <c r="G2" s="9">
        <f ca="1" t="shared" ref="G2:G22" si="1">C2+D2</f>
        <v>4</v>
      </c>
    </row>
    <row r="3" ht="16.2" spans="1:7">
      <c r="A3" s="27" t="s">
        <v>23</v>
      </c>
      <c r="B3" s="27" cm="1">
        <f ca="1" t="array" ref="B3">INDIRECT("装备牌部件!G"&amp;(ROW()-2)*6+5)</f>
        <v>2</v>
      </c>
      <c r="C3" s="27" cm="1">
        <f ca="1" t="array" ref="C3">INDIRECT("装备牌部件!H"&amp;(ROW()-2)*6+5)</f>
        <v>1</v>
      </c>
      <c r="D3" s="27" cm="1">
        <f ca="1" t="array" ref="D3">INDIRECT("装备牌部件!I"&amp;(ROW()-2)*6+5)</f>
        <v>2</v>
      </c>
      <c r="E3" s="27" cm="1">
        <f ca="1" t="array" ref="E3">INDIRECT("装备牌部件!J"&amp;(ROW()-2)*6+5)</f>
        <v>2</v>
      </c>
      <c r="F3" s="9">
        <f ca="1" t="shared" si="0"/>
        <v>3</v>
      </c>
      <c r="G3" s="9">
        <f ca="1" t="shared" si="1"/>
        <v>3</v>
      </c>
    </row>
    <row r="4" ht="16.2" spans="1:7">
      <c r="A4" s="27" t="s">
        <v>30</v>
      </c>
      <c r="B4" s="27" cm="1">
        <f ca="1" t="array" ref="B4">INDIRECT("装备牌部件!G"&amp;(ROW()-2)*6+5)</f>
        <v>2</v>
      </c>
      <c r="C4" s="27" cm="1">
        <f ca="1" t="array" ref="C4">INDIRECT("装备牌部件!H"&amp;(ROW()-2)*6+5)</f>
        <v>2</v>
      </c>
      <c r="D4" s="27" cm="1">
        <f ca="1" t="array" ref="D4">INDIRECT("装备牌部件!I"&amp;(ROW()-2)*6+5)</f>
        <v>2</v>
      </c>
      <c r="E4" s="27" cm="1">
        <f ca="1" t="array" ref="E4">INDIRECT("装备牌部件!J"&amp;(ROW()-2)*6+5)</f>
        <v>3</v>
      </c>
      <c r="F4" s="9">
        <f ca="1" t="shared" si="0"/>
        <v>4</v>
      </c>
      <c r="G4" s="9">
        <f ca="1" t="shared" si="1"/>
        <v>4</v>
      </c>
    </row>
    <row r="5" ht="16.2" spans="1:7">
      <c r="A5" s="27" t="s">
        <v>37</v>
      </c>
      <c r="B5" s="27" cm="1">
        <f ca="1" t="array" ref="B5">INDIRECT("装备牌部件!G"&amp;(ROW()-2)*6+5)</f>
        <v>1</v>
      </c>
      <c r="C5" s="27" cm="1">
        <f ca="1" t="array" ref="C5">INDIRECT("装备牌部件!H"&amp;(ROW()-2)*6+5)</f>
        <v>1</v>
      </c>
      <c r="D5" s="27" cm="1">
        <f ca="1" t="array" ref="D5">INDIRECT("装备牌部件!I"&amp;(ROW()-2)*6+5)</f>
        <v>2</v>
      </c>
      <c r="E5" s="27" cm="1">
        <f ca="1" t="array" ref="E5">INDIRECT("装备牌部件!J"&amp;(ROW()-2)*6+5)</f>
        <v>2</v>
      </c>
      <c r="F5" s="9">
        <f ca="1" t="shared" si="0"/>
        <v>2</v>
      </c>
      <c r="G5" s="9">
        <f ca="1" t="shared" si="1"/>
        <v>3</v>
      </c>
    </row>
    <row r="6" ht="16.2" spans="1:7">
      <c r="A6" s="27" t="s">
        <v>41</v>
      </c>
      <c r="B6" s="27" cm="1">
        <f ca="1" t="array" ref="B6">INDIRECT("装备牌部件!G"&amp;(ROW()-2)*6+5)</f>
        <v>2</v>
      </c>
      <c r="C6" s="27" cm="1">
        <f ca="1" t="array" ref="C6">INDIRECT("装备牌部件!H"&amp;(ROW()-2)*6+5)</f>
        <v>2</v>
      </c>
      <c r="D6" s="27" cm="1">
        <f ca="1" t="array" ref="D6">INDIRECT("装备牌部件!I"&amp;(ROW()-2)*6+5)</f>
        <v>2</v>
      </c>
      <c r="E6" s="27" cm="1">
        <f ca="1" t="array" ref="E6">INDIRECT("装备牌部件!J"&amp;(ROW()-2)*6+5)</f>
        <v>3</v>
      </c>
      <c r="F6" s="9">
        <f ca="1" t="shared" si="0"/>
        <v>4</v>
      </c>
      <c r="G6" s="9">
        <f ca="1" t="shared" si="1"/>
        <v>4</v>
      </c>
    </row>
    <row r="7" ht="16.2" spans="1:7">
      <c r="A7" s="27" t="s">
        <v>47</v>
      </c>
      <c r="B7" s="27" cm="1">
        <f ca="1" t="array" ref="B7">INDIRECT("装备牌部件!G"&amp;(ROW()-2)*6+5)</f>
        <v>1</v>
      </c>
      <c r="C7" s="27" cm="1">
        <f ca="1" t="array" ref="C7">INDIRECT("装备牌部件!H"&amp;(ROW()-2)*6+5)</f>
        <v>1</v>
      </c>
      <c r="D7" s="27" cm="1">
        <f ca="1" t="array" ref="D7">INDIRECT("装备牌部件!I"&amp;(ROW()-2)*6+5)</f>
        <v>2</v>
      </c>
      <c r="E7" s="27" cm="1">
        <f ca="1" t="array" ref="E7">INDIRECT("装备牌部件!J"&amp;(ROW()-2)*6+5)</f>
        <v>2</v>
      </c>
      <c r="F7" s="9">
        <f ca="1" t="shared" si="0"/>
        <v>2</v>
      </c>
      <c r="G7" s="9">
        <f ca="1" t="shared" si="1"/>
        <v>3</v>
      </c>
    </row>
    <row r="8" ht="16.2" spans="1:7">
      <c r="A8" s="27" t="s">
        <v>54</v>
      </c>
      <c r="B8" s="27" cm="1">
        <f ca="1" t="array" ref="B8">INDIRECT("装备牌部件!G"&amp;(ROW()-2)*6+5)</f>
        <v>2</v>
      </c>
      <c r="C8" s="27" cm="1">
        <f ca="1" t="array" ref="C8">INDIRECT("装备牌部件!H"&amp;(ROW()-2)*6+5)</f>
        <v>2</v>
      </c>
      <c r="D8" s="27" cm="1">
        <f ca="1" t="array" ref="D8">INDIRECT("装备牌部件!I"&amp;(ROW()-2)*6+5)</f>
        <v>3</v>
      </c>
      <c r="E8" s="27" cm="1">
        <f ca="1" t="array" ref="E8">INDIRECT("装备牌部件!J"&amp;(ROW()-2)*6+5)</f>
        <v>3</v>
      </c>
      <c r="F8" s="9">
        <f ca="1" t="shared" si="0"/>
        <v>4</v>
      </c>
      <c r="G8" s="9">
        <f ca="1" t="shared" si="1"/>
        <v>5</v>
      </c>
    </row>
    <row r="9" ht="16.2" spans="1:7">
      <c r="A9" s="28" t="s">
        <v>59</v>
      </c>
      <c r="B9" s="28" cm="1">
        <f ca="1" t="array" ref="B9">INDIRECT("装备牌部件!G"&amp;(ROW()-2)*6+5)</f>
        <v>3</v>
      </c>
      <c r="C9" s="28" cm="1">
        <f ca="1" t="array" ref="C9">INDIRECT("装备牌部件!H"&amp;(ROW()-2)*6+5)</f>
        <v>1</v>
      </c>
      <c r="D9" s="28" cm="1">
        <f ca="1" t="array" ref="D9">INDIRECT("装备牌部件!I"&amp;(ROW()-2)*6+5)</f>
        <v>4</v>
      </c>
      <c r="E9" s="28" cm="1">
        <f ca="1" t="array" ref="E9">INDIRECT("装备牌部件!J"&amp;(ROW()-2)*6+5)</f>
        <v>4</v>
      </c>
      <c r="F9" s="13">
        <f ca="1" t="shared" si="0"/>
        <v>4</v>
      </c>
      <c r="G9" s="13">
        <f ca="1" t="shared" si="1"/>
        <v>5</v>
      </c>
    </row>
    <row r="10" ht="16.2" spans="1:7">
      <c r="A10" s="28" t="s">
        <v>63</v>
      </c>
      <c r="B10" s="28" cm="1">
        <f ca="1" t="array" ref="B10">INDIRECT("装备牌部件!G"&amp;(ROW()-2)*6+5)</f>
        <v>3</v>
      </c>
      <c r="C10" s="28" cm="1">
        <f ca="1" t="array" ref="C10">INDIRECT("装备牌部件!H"&amp;(ROW()-2)*6+5)</f>
        <v>1</v>
      </c>
      <c r="D10" s="28" cm="1">
        <f ca="1" t="array" ref="D10">INDIRECT("装备牌部件!I"&amp;(ROW()-2)*6+5)</f>
        <v>3</v>
      </c>
      <c r="E10" s="28" cm="1">
        <f ca="1" t="array" ref="E10">INDIRECT("装备牌部件!J"&amp;(ROW()-2)*6+5)</f>
        <v>3</v>
      </c>
      <c r="F10" s="13">
        <f ca="1" t="shared" si="0"/>
        <v>4</v>
      </c>
      <c r="G10" s="13">
        <f ca="1" t="shared" si="1"/>
        <v>4</v>
      </c>
    </row>
    <row r="11" ht="16.2" spans="1:7">
      <c r="A11" s="28" t="s">
        <v>69</v>
      </c>
      <c r="B11" s="28" cm="1">
        <f ca="1" t="array" ref="B11">INDIRECT("装备牌部件!G"&amp;(ROW()-2)*6+5)</f>
        <v>2</v>
      </c>
      <c r="C11" s="28" cm="1">
        <f ca="1" t="array" ref="C11">INDIRECT("装备牌部件!H"&amp;(ROW()-2)*6+5)</f>
        <v>2</v>
      </c>
      <c r="D11" s="28" cm="1">
        <f ca="1" t="array" ref="D11">INDIRECT("装备牌部件!I"&amp;(ROW()-2)*6+5)</f>
        <v>3</v>
      </c>
      <c r="E11" s="28" cm="1">
        <f ca="1" t="array" ref="E11">INDIRECT("装备牌部件!J"&amp;(ROW()-2)*6+5)</f>
        <v>4</v>
      </c>
      <c r="F11" s="13">
        <f ca="1" t="shared" si="0"/>
        <v>4</v>
      </c>
      <c r="G11" s="13">
        <f ca="1" t="shared" si="1"/>
        <v>5</v>
      </c>
    </row>
    <row r="12" ht="16.2" spans="1:7">
      <c r="A12" s="28" t="s">
        <v>75</v>
      </c>
      <c r="B12" s="28" cm="1">
        <f ca="1" t="array" ref="B12">INDIRECT("装备牌部件!G"&amp;(ROW()-2)*6+5)</f>
        <v>2</v>
      </c>
      <c r="C12" s="28" cm="1">
        <f ca="1" t="array" ref="C12">INDIRECT("装备牌部件!H"&amp;(ROW()-2)*6+5)</f>
        <v>1</v>
      </c>
      <c r="D12" s="28" cm="1">
        <f ca="1" t="array" ref="D12">INDIRECT("装备牌部件!I"&amp;(ROW()-2)*6+5)</f>
        <v>3</v>
      </c>
      <c r="E12" s="28" cm="1">
        <f ca="1" t="array" ref="E12">INDIRECT("装备牌部件!J"&amp;(ROW()-2)*6+5)</f>
        <v>3</v>
      </c>
      <c r="F12" s="13">
        <f ca="1" t="shared" si="0"/>
        <v>3</v>
      </c>
      <c r="G12" s="13">
        <f ca="1" t="shared" si="1"/>
        <v>4</v>
      </c>
    </row>
    <row r="13" ht="16.2" spans="1:7">
      <c r="A13" s="28" t="s">
        <v>79</v>
      </c>
      <c r="B13" s="28" cm="1">
        <f ca="1" t="array" ref="B13">INDIRECT("装备牌部件!G"&amp;(ROW()-2)*6+5)</f>
        <v>2</v>
      </c>
      <c r="C13" s="28" cm="1">
        <f ca="1" t="array" ref="C13">INDIRECT("装备牌部件!H"&amp;(ROW()-2)*6+5)</f>
        <v>2</v>
      </c>
      <c r="D13" s="28" cm="1">
        <f ca="1" t="array" ref="D13">INDIRECT("装备牌部件!I"&amp;(ROW()-2)*6+5)</f>
        <v>3</v>
      </c>
      <c r="E13" s="28" cm="1">
        <f ca="1" t="array" ref="E13">INDIRECT("装备牌部件!J"&amp;(ROW()-2)*6+5)</f>
        <v>4</v>
      </c>
      <c r="F13" s="13">
        <f ca="1" t="shared" si="0"/>
        <v>4</v>
      </c>
      <c r="G13" s="13">
        <f ca="1" t="shared" si="1"/>
        <v>5</v>
      </c>
    </row>
    <row r="14" ht="16.2" spans="1:7">
      <c r="A14" s="28" t="s">
        <v>256</v>
      </c>
      <c r="B14" s="28" cm="1">
        <f ca="1" t="array" ref="B14">INDIRECT("装备牌部件!G"&amp;(ROW()-2)*6+5)</f>
        <v>2</v>
      </c>
      <c r="C14" s="28" cm="1">
        <f ca="1" t="array" ref="C14">INDIRECT("装备牌部件!H"&amp;(ROW()-2)*6+5)</f>
        <v>1</v>
      </c>
      <c r="D14" s="28" cm="1">
        <f ca="1" t="array" ref="D14">INDIRECT("装备牌部件!I"&amp;(ROW()-2)*6+5)</f>
        <v>3</v>
      </c>
      <c r="E14" s="28" cm="1">
        <f ca="1" t="array" ref="E14">INDIRECT("装备牌部件!J"&amp;(ROW()-2)*6+5)</f>
        <v>3</v>
      </c>
      <c r="F14" s="13">
        <f ca="1" t="shared" si="0"/>
        <v>3</v>
      </c>
      <c r="G14" s="13">
        <f ca="1" t="shared" si="1"/>
        <v>4</v>
      </c>
    </row>
    <row r="15" ht="16.2" spans="1:7">
      <c r="A15" s="28" t="s">
        <v>257</v>
      </c>
      <c r="B15" s="28" cm="1">
        <f ca="1" t="array" ref="B15">INDIRECT("装备牌部件!G"&amp;(ROW()-2)*6+5)</f>
        <v>2</v>
      </c>
      <c r="C15" s="28" cm="1">
        <f ca="1" t="array" ref="C15">INDIRECT("装备牌部件!H"&amp;(ROW()-2)*6+5)</f>
        <v>3</v>
      </c>
      <c r="D15" s="28" cm="1">
        <f ca="1" t="array" ref="D15">INDIRECT("装备牌部件!I"&amp;(ROW()-2)*6+5)</f>
        <v>4</v>
      </c>
      <c r="E15" s="28" cm="1">
        <f ca="1" t="array" ref="E15">INDIRECT("装备牌部件!J"&amp;(ROW()-2)*6+5)</f>
        <v>4</v>
      </c>
      <c r="F15" s="13">
        <f ca="1" t="shared" si="0"/>
        <v>5</v>
      </c>
      <c r="G15" s="13">
        <f ca="1" t="shared" si="1"/>
        <v>7</v>
      </c>
    </row>
    <row r="16" ht="16.2" spans="1:7">
      <c r="A16" s="14" t="s">
        <v>98</v>
      </c>
      <c r="B16" s="15" cm="1">
        <f ca="1" t="array" ref="B16">INDIRECT("装备牌部件!G"&amp;(ROW()-2)*6+5)</f>
        <v>4</v>
      </c>
      <c r="C16" s="15" cm="1">
        <f ca="1" t="array" ref="C16">INDIRECT("装备牌部件!H"&amp;(ROW()-2)*6+5)</f>
        <v>1</v>
      </c>
      <c r="D16" s="15" cm="1">
        <f ca="1" t="array" ref="D16">INDIRECT("装备牌部件!I"&amp;(ROW()-2)*6+5)</f>
        <v>5</v>
      </c>
      <c r="E16" s="15" cm="1">
        <f ca="1" t="array" ref="E16">INDIRECT("装备牌部件!J"&amp;(ROW()-2)*6+5)</f>
        <v>5</v>
      </c>
      <c r="F16" s="15">
        <f ca="1" t="shared" si="0"/>
        <v>5</v>
      </c>
      <c r="G16" s="15">
        <f ca="1" t="shared" si="1"/>
        <v>6</v>
      </c>
    </row>
    <row r="17" ht="16.2" spans="1:7">
      <c r="A17" s="15" t="s">
        <v>103</v>
      </c>
      <c r="B17" s="15" cm="1">
        <f ca="1" t="array" ref="B17">INDIRECT("装备牌部件!G"&amp;(ROW()-2)*6+5)</f>
        <v>4</v>
      </c>
      <c r="C17" s="15" cm="1">
        <f ca="1" t="array" ref="C17">INDIRECT("装备牌部件!H"&amp;(ROW()-2)*6+5)</f>
        <v>1</v>
      </c>
      <c r="D17" s="15" cm="1">
        <f ca="1" t="array" ref="D17">INDIRECT("装备牌部件!I"&amp;(ROW()-2)*6+5)</f>
        <v>4</v>
      </c>
      <c r="E17" s="15" cm="1">
        <f ca="1" t="array" ref="E17">INDIRECT("装备牌部件!J"&amp;(ROW()-2)*6+5)</f>
        <v>4</v>
      </c>
      <c r="F17" s="15">
        <f ca="1" t="shared" si="0"/>
        <v>5</v>
      </c>
      <c r="G17" s="15">
        <f ca="1" t="shared" si="1"/>
        <v>5</v>
      </c>
    </row>
    <row r="18" ht="16.2" spans="1:7">
      <c r="A18" s="15" t="s">
        <v>108</v>
      </c>
      <c r="B18" s="15" cm="1">
        <f ca="1" t="array" ref="B18">INDIRECT("装备牌部件!G"&amp;(ROW()-2)*6+5)</f>
        <v>2</v>
      </c>
      <c r="C18" s="15" cm="1">
        <f ca="1" t="array" ref="C18">INDIRECT("装备牌部件!H"&amp;(ROW()-2)*6+5)</f>
        <v>2</v>
      </c>
      <c r="D18" s="15" cm="1">
        <f ca="1" t="array" ref="D18">INDIRECT("装备牌部件!I"&amp;(ROW()-2)*6+5)</f>
        <v>4</v>
      </c>
      <c r="E18" s="15" cm="1">
        <f ca="1" t="array" ref="E18">INDIRECT("装备牌部件!J"&amp;(ROW()-2)*6+5)</f>
        <v>4</v>
      </c>
      <c r="F18" s="15">
        <f ca="1" t="shared" si="0"/>
        <v>4</v>
      </c>
      <c r="G18" s="15">
        <f ca="1" t="shared" si="1"/>
        <v>6</v>
      </c>
    </row>
    <row r="19" ht="16.2" spans="1:7">
      <c r="A19" s="15" t="s">
        <v>112</v>
      </c>
      <c r="B19" s="15" cm="1">
        <f ca="1" t="array" ref="B19">INDIRECT("装备牌部件!G"&amp;(ROW()-2)*6+5)</f>
        <v>3</v>
      </c>
      <c r="C19" s="15" cm="1">
        <f ca="1" t="array" ref="C19">INDIRECT("装备牌部件!H"&amp;(ROW()-2)*6+5)</f>
        <v>1</v>
      </c>
      <c r="D19" s="15" cm="1">
        <f ca="1" t="array" ref="D19">INDIRECT("装备牌部件!I"&amp;(ROW()-2)*6+5)</f>
        <v>4</v>
      </c>
      <c r="E19" s="15" cm="1">
        <f ca="1" t="array" ref="E19">INDIRECT("装备牌部件!J"&amp;(ROW()-2)*6+5)</f>
        <v>4</v>
      </c>
      <c r="F19" s="15">
        <f ca="1" t="shared" si="0"/>
        <v>4</v>
      </c>
      <c r="G19" s="15">
        <f ca="1" t="shared" si="1"/>
        <v>5</v>
      </c>
    </row>
    <row r="20" ht="16.2" spans="1:7">
      <c r="A20" s="15" t="s">
        <v>258</v>
      </c>
      <c r="B20" s="15" cm="1">
        <f ca="1" t="array" ref="B20">INDIRECT("装备牌部件!G"&amp;(ROW()-2)*6+5)</f>
        <v>3</v>
      </c>
      <c r="C20" s="15" cm="1">
        <f ca="1" t="array" ref="C20">INDIRECT("装备牌部件!H"&amp;(ROW()-2)*6+5)</f>
        <v>3</v>
      </c>
      <c r="D20" s="15" cm="1">
        <f ca="1" t="array" ref="D20">INDIRECT("装备牌部件!I"&amp;(ROW()-2)*6+5)</f>
        <v>4</v>
      </c>
      <c r="E20" s="15" cm="1">
        <f ca="1" t="array" ref="E20">INDIRECT("装备牌部件!J"&amp;(ROW()-2)*6+5)</f>
        <v>5</v>
      </c>
      <c r="F20" s="15">
        <f ca="1" t="shared" si="0"/>
        <v>6</v>
      </c>
      <c r="G20" s="15">
        <f ca="1" t="shared" si="1"/>
        <v>7</v>
      </c>
    </row>
    <row r="21" ht="16.2" spans="1:7">
      <c r="A21" s="29" t="s">
        <v>124</v>
      </c>
      <c r="B21" s="29" cm="1">
        <f ca="1" t="array" ref="B21">INDIRECT("装备牌部件!G"&amp;(ROW()-2)*6+5)</f>
        <v>5</v>
      </c>
      <c r="C21" s="29" cm="1">
        <f ca="1" t="array" ref="C21">INDIRECT("装备牌部件!H"&amp;(ROW()-2)*6+5)</f>
        <v>1</v>
      </c>
      <c r="D21" s="29" cm="1">
        <f ca="1" t="array" ref="D21">INDIRECT("装备牌部件!I"&amp;(ROW()-2)*6+5)</f>
        <v>5</v>
      </c>
      <c r="E21" s="29" cm="1">
        <f ca="1" t="array" ref="E21">INDIRECT("装备牌部件!J"&amp;(ROW()-2)*6+5)</f>
        <v>6</v>
      </c>
      <c r="F21" s="19">
        <f ca="1" t="shared" si="0"/>
        <v>6</v>
      </c>
      <c r="G21" s="19">
        <f ca="1" t="shared" si="1"/>
        <v>6</v>
      </c>
    </row>
    <row r="22" ht="16.2" spans="1:7">
      <c r="A22" s="29" t="s">
        <v>132</v>
      </c>
      <c r="B22" s="29" cm="1">
        <f ca="1" t="array" ref="B22">INDIRECT("装备牌部件!G"&amp;(ROW()-2)*6+5)</f>
        <v>3</v>
      </c>
      <c r="C22" s="29" cm="1">
        <f ca="1" t="array" ref="C22">INDIRECT("装备牌部件!H"&amp;(ROW()-2)*6+5)</f>
        <v>2</v>
      </c>
      <c r="D22" s="29" cm="1">
        <f ca="1" t="array" ref="D22">INDIRECT("装备牌部件!I"&amp;(ROW()-2)*6+5)</f>
        <v>5</v>
      </c>
      <c r="E22" s="29" cm="1">
        <f ca="1" t="array" ref="E22">INDIRECT("装备牌部件!J"&amp;(ROW()-2)*6+5)</f>
        <v>6</v>
      </c>
      <c r="F22" s="19">
        <f ca="1" t="shared" si="0"/>
        <v>5</v>
      </c>
      <c r="G22" s="19">
        <f ca="1" t="shared" si="1"/>
        <v>7</v>
      </c>
    </row>
    <row r="23" ht="16.2" spans="1:7">
      <c r="A23" s="5" t="s">
        <v>259</v>
      </c>
      <c r="B23" s="5">
        <f ca="1" t="shared" ref="B23:G23" si="2">SUM(B2:B22)</f>
        <v>52</v>
      </c>
      <c r="C23" s="5">
        <f ca="1" t="shared" si="2"/>
        <v>32</v>
      </c>
      <c r="D23" s="5">
        <f ca="1" t="shared" si="2"/>
        <v>70</v>
      </c>
      <c r="E23" s="5">
        <f ca="1" t="shared" si="2"/>
        <v>77</v>
      </c>
      <c r="F23" s="5">
        <f ca="1" t="shared" si="2"/>
        <v>84</v>
      </c>
      <c r="G23" s="5">
        <f ca="1" t="shared" si="2"/>
        <v>102</v>
      </c>
    </row>
    <row r="24" ht="16.2" spans="1:7">
      <c r="A24" s="5" t="s">
        <v>260</v>
      </c>
      <c r="B24" s="5">
        <f ca="1" t="shared" ref="B24:G24" si="3">B23/21</f>
        <v>2.47619047619048</v>
      </c>
      <c r="C24" s="5">
        <f ca="1" t="shared" si="3"/>
        <v>1.52380952380952</v>
      </c>
      <c r="D24" s="5">
        <f ca="1" t="shared" si="3"/>
        <v>3.33333333333333</v>
      </c>
      <c r="E24" s="5">
        <f ca="1" t="shared" si="3"/>
        <v>3.66666666666667</v>
      </c>
      <c r="F24" s="5">
        <f ca="1" t="shared" si="3"/>
        <v>4</v>
      </c>
      <c r="G24" s="5">
        <f ca="1" t="shared" si="3"/>
        <v>4.85714285714286</v>
      </c>
    </row>
    <row r="25" ht="16.2" spans="1:7">
      <c r="A25" s="5" t="s">
        <v>261</v>
      </c>
      <c r="B25" s="5">
        <f ca="1" t="shared" ref="B25:G25" si="4">MAX(B2:B22)</f>
        <v>5</v>
      </c>
      <c r="C25" s="5">
        <f ca="1" t="shared" si="4"/>
        <v>3</v>
      </c>
      <c r="D25" s="5">
        <f ca="1" t="shared" si="4"/>
        <v>5</v>
      </c>
      <c r="E25" s="5">
        <f ca="1" t="shared" si="4"/>
        <v>6</v>
      </c>
      <c r="F25" s="5">
        <f ca="1" t="shared" si="4"/>
        <v>6</v>
      </c>
      <c r="G25" s="5">
        <f ca="1" t="shared" si="4"/>
        <v>7</v>
      </c>
    </row>
    <row r="26" ht="16.2" spans="1:7">
      <c r="A26" s="5" t="s">
        <v>262</v>
      </c>
      <c r="B26" s="5">
        <f ca="1" t="shared" ref="B26:G26" si="5">MIN(B2:B22)</f>
        <v>1</v>
      </c>
      <c r="C26" s="5">
        <f ca="1" t="shared" si="5"/>
        <v>1</v>
      </c>
      <c r="D26" s="5">
        <f ca="1" t="shared" si="5"/>
        <v>2</v>
      </c>
      <c r="E26" s="5">
        <f ca="1" t="shared" si="5"/>
        <v>2</v>
      </c>
      <c r="F26" s="5">
        <f ca="1" t="shared" si="5"/>
        <v>2</v>
      </c>
      <c r="G26" s="5">
        <f ca="1" t="shared" si="5"/>
        <v>3</v>
      </c>
    </row>
    <row r="27" ht="16.2" spans="1:7">
      <c r="A27" s="9" t="s">
        <v>263</v>
      </c>
      <c r="B27" s="9">
        <f ca="1" t="shared" ref="B27:G27" si="6">SUM(B2:B8)</f>
        <v>12</v>
      </c>
      <c r="C27" s="9">
        <f ca="1" t="shared" si="6"/>
        <v>10</v>
      </c>
      <c r="D27" s="9">
        <f ca="1" t="shared" si="6"/>
        <v>16</v>
      </c>
      <c r="E27" s="9">
        <f ca="1" t="shared" si="6"/>
        <v>18</v>
      </c>
      <c r="F27" s="9">
        <f ca="1" t="shared" si="6"/>
        <v>22</v>
      </c>
      <c r="G27" s="9">
        <f ca="1" t="shared" si="6"/>
        <v>26</v>
      </c>
    </row>
    <row r="28" ht="16.2" spans="1:7">
      <c r="A28" s="9" t="s">
        <v>264</v>
      </c>
      <c r="B28" s="9">
        <f ca="1" t="shared" ref="B28:G28" si="7">B27/7</f>
        <v>1.71428571428571</v>
      </c>
      <c r="C28" s="9">
        <f ca="1" t="shared" si="7"/>
        <v>1.42857142857143</v>
      </c>
      <c r="D28" s="9">
        <f ca="1" t="shared" si="7"/>
        <v>2.28571428571429</v>
      </c>
      <c r="E28" s="9">
        <f ca="1" t="shared" si="7"/>
        <v>2.57142857142857</v>
      </c>
      <c r="F28" s="9">
        <f ca="1" t="shared" si="7"/>
        <v>3.14285714285714</v>
      </c>
      <c r="G28" s="9">
        <f ca="1" t="shared" si="7"/>
        <v>3.71428571428571</v>
      </c>
    </row>
    <row r="29" ht="16.2" spans="1:7">
      <c r="A29" s="9" t="s">
        <v>265</v>
      </c>
      <c r="B29" s="9">
        <f ca="1" t="shared" ref="B29:G29" si="8">MAX(B2:B8)</f>
        <v>2</v>
      </c>
      <c r="C29" s="9">
        <f ca="1" t="shared" si="8"/>
        <v>2</v>
      </c>
      <c r="D29" s="9">
        <f ca="1" t="shared" si="8"/>
        <v>3</v>
      </c>
      <c r="E29" s="9">
        <f ca="1" t="shared" si="8"/>
        <v>3</v>
      </c>
      <c r="F29" s="9">
        <f ca="1" t="shared" si="8"/>
        <v>4</v>
      </c>
      <c r="G29" s="9">
        <f ca="1" t="shared" si="8"/>
        <v>5</v>
      </c>
    </row>
    <row r="30" ht="16.2" spans="1:7">
      <c r="A30" s="9" t="s">
        <v>266</v>
      </c>
      <c r="B30" s="9">
        <f ca="1" t="shared" ref="B30:G30" si="9">MIN(B2:B8)</f>
        <v>1</v>
      </c>
      <c r="C30" s="9">
        <f ca="1" t="shared" si="9"/>
        <v>1</v>
      </c>
      <c r="D30" s="9">
        <f ca="1" t="shared" si="9"/>
        <v>2</v>
      </c>
      <c r="E30" s="9">
        <f ca="1" t="shared" si="9"/>
        <v>2</v>
      </c>
      <c r="F30" s="9">
        <f ca="1" t="shared" si="9"/>
        <v>2</v>
      </c>
      <c r="G30" s="9">
        <f ca="1" t="shared" si="9"/>
        <v>3</v>
      </c>
    </row>
    <row r="31" ht="16.2" spans="1:7">
      <c r="A31" s="13" t="s">
        <v>267</v>
      </c>
      <c r="B31" s="13">
        <f ca="1" t="shared" ref="B31:G31" si="10">SUM(B9:B15)</f>
        <v>16</v>
      </c>
      <c r="C31" s="13">
        <f ca="1" t="shared" si="10"/>
        <v>11</v>
      </c>
      <c r="D31" s="13">
        <f ca="1" t="shared" si="10"/>
        <v>23</v>
      </c>
      <c r="E31" s="13">
        <f ca="1" t="shared" si="10"/>
        <v>25</v>
      </c>
      <c r="F31" s="13">
        <f ca="1" t="shared" si="10"/>
        <v>27</v>
      </c>
      <c r="G31" s="13">
        <f ca="1" t="shared" si="10"/>
        <v>34</v>
      </c>
    </row>
    <row r="32" ht="16.2" spans="1:7">
      <c r="A32" s="13" t="s">
        <v>268</v>
      </c>
      <c r="B32" s="13">
        <f ca="1" t="shared" ref="B32:G32" si="11">B31/7</f>
        <v>2.28571428571429</v>
      </c>
      <c r="C32" s="13">
        <f ca="1" t="shared" si="11"/>
        <v>1.57142857142857</v>
      </c>
      <c r="D32" s="13">
        <f ca="1" t="shared" si="11"/>
        <v>3.28571428571429</v>
      </c>
      <c r="E32" s="13">
        <f ca="1" t="shared" si="11"/>
        <v>3.57142857142857</v>
      </c>
      <c r="F32" s="13">
        <f ca="1" t="shared" si="11"/>
        <v>3.85714285714286</v>
      </c>
      <c r="G32" s="13">
        <f ca="1" t="shared" si="11"/>
        <v>4.85714285714286</v>
      </c>
    </row>
    <row r="33" ht="16.2" spans="1:7">
      <c r="A33" s="13" t="s">
        <v>269</v>
      </c>
      <c r="B33" s="13">
        <f ca="1" t="shared" ref="B33:G33" si="12">MAX(B9:B15)</f>
        <v>3</v>
      </c>
      <c r="C33" s="13">
        <f ca="1" t="shared" si="12"/>
        <v>3</v>
      </c>
      <c r="D33" s="13">
        <f ca="1" t="shared" si="12"/>
        <v>4</v>
      </c>
      <c r="E33" s="13">
        <f ca="1" t="shared" si="12"/>
        <v>4</v>
      </c>
      <c r="F33" s="13">
        <f ca="1" t="shared" si="12"/>
        <v>5</v>
      </c>
      <c r="G33" s="13">
        <f ca="1" t="shared" si="12"/>
        <v>7</v>
      </c>
    </row>
    <row r="34" ht="16.2" spans="1:7">
      <c r="A34" s="13" t="s">
        <v>270</v>
      </c>
      <c r="B34" s="13">
        <f ca="1" t="shared" ref="B34:G34" si="13">MIN(B9:B15)</f>
        <v>2</v>
      </c>
      <c r="C34" s="13">
        <f ca="1" t="shared" si="13"/>
        <v>1</v>
      </c>
      <c r="D34" s="13">
        <f ca="1" t="shared" si="13"/>
        <v>3</v>
      </c>
      <c r="E34" s="13">
        <f ca="1" t="shared" si="13"/>
        <v>3</v>
      </c>
      <c r="F34" s="13">
        <f ca="1" t="shared" si="13"/>
        <v>3</v>
      </c>
      <c r="G34" s="13">
        <f ca="1" t="shared" si="13"/>
        <v>4</v>
      </c>
    </row>
    <row r="35" ht="16.2" spans="1:7">
      <c r="A35" s="15" t="s">
        <v>271</v>
      </c>
      <c r="B35" s="15">
        <f ca="1" t="shared" ref="B35:G35" si="14">SUM(B17:B20)</f>
        <v>12</v>
      </c>
      <c r="C35" s="15">
        <f ca="1" t="shared" si="14"/>
        <v>7</v>
      </c>
      <c r="D35" s="15">
        <f ca="1" t="shared" si="14"/>
        <v>16</v>
      </c>
      <c r="E35" s="15">
        <f ca="1" t="shared" si="14"/>
        <v>17</v>
      </c>
      <c r="F35" s="15">
        <f ca="1" t="shared" si="14"/>
        <v>19</v>
      </c>
      <c r="G35" s="15">
        <f ca="1" t="shared" si="14"/>
        <v>23</v>
      </c>
    </row>
    <row r="36" ht="16.2" spans="1:7">
      <c r="A36" s="15" t="s">
        <v>272</v>
      </c>
      <c r="B36" s="15">
        <f ca="1" t="shared" ref="B36:G36" si="15">B35/4</f>
        <v>3</v>
      </c>
      <c r="C36" s="15">
        <f ca="1" t="shared" si="15"/>
        <v>1.75</v>
      </c>
      <c r="D36" s="15">
        <f ca="1" t="shared" si="15"/>
        <v>4</v>
      </c>
      <c r="E36" s="15">
        <f ca="1" t="shared" si="15"/>
        <v>4.25</v>
      </c>
      <c r="F36" s="15">
        <f ca="1" t="shared" si="15"/>
        <v>4.75</v>
      </c>
      <c r="G36" s="15">
        <f ca="1" t="shared" si="15"/>
        <v>5.75</v>
      </c>
    </row>
    <row r="37" ht="16.2" spans="1:7">
      <c r="A37" s="15" t="s">
        <v>273</v>
      </c>
      <c r="B37" s="15">
        <f ca="1" t="shared" ref="B37:G37" si="16">MAX(B17:B20)</f>
        <v>4</v>
      </c>
      <c r="C37" s="15">
        <f ca="1" t="shared" si="16"/>
        <v>3</v>
      </c>
      <c r="D37" s="15">
        <f ca="1" t="shared" si="16"/>
        <v>4</v>
      </c>
      <c r="E37" s="15">
        <f ca="1" t="shared" si="16"/>
        <v>5</v>
      </c>
      <c r="F37" s="15">
        <f ca="1" t="shared" si="16"/>
        <v>6</v>
      </c>
      <c r="G37" s="15">
        <f ca="1" t="shared" si="16"/>
        <v>7</v>
      </c>
    </row>
    <row r="38" ht="16.2" spans="1:7">
      <c r="A38" s="15" t="s">
        <v>274</v>
      </c>
      <c r="B38" s="15">
        <f ca="1" t="shared" ref="B38:G38" si="17">MIN(B17:B20)</f>
        <v>2</v>
      </c>
      <c r="C38" s="15">
        <f ca="1" t="shared" si="17"/>
        <v>1</v>
      </c>
      <c r="D38" s="15">
        <f ca="1" t="shared" si="17"/>
        <v>4</v>
      </c>
      <c r="E38" s="15">
        <f ca="1" t="shared" si="17"/>
        <v>4</v>
      </c>
      <c r="F38" s="15">
        <f ca="1" t="shared" si="17"/>
        <v>4</v>
      </c>
      <c r="G38" s="15">
        <f ca="1" t="shared" si="17"/>
        <v>5</v>
      </c>
    </row>
    <row r="39" ht="16.2" spans="1:7">
      <c r="A39" s="19" t="s">
        <v>275</v>
      </c>
      <c r="B39" s="19">
        <f ca="1" t="shared" ref="B39:G39" si="18">SUM(B21:B22)</f>
        <v>8</v>
      </c>
      <c r="C39" s="19">
        <f ca="1" t="shared" si="18"/>
        <v>3</v>
      </c>
      <c r="D39" s="19">
        <f ca="1" t="shared" si="18"/>
        <v>10</v>
      </c>
      <c r="E39" s="19">
        <f ca="1" t="shared" si="18"/>
        <v>12</v>
      </c>
      <c r="F39" s="19">
        <f ca="1" t="shared" si="18"/>
        <v>11</v>
      </c>
      <c r="G39" s="19">
        <f ca="1" t="shared" si="18"/>
        <v>13</v>
      </c>
    </row>
    <row r="40" ht="16.2" spans="1:7">
      <c r="A40" s="19" t="s">
        <v>276</v>
      </c>
      <c r="B40" s="19">
        <f ca="1" t="shared" ref="B40:G40" si="19">B39/2</f>
        <v>4</v>
      </c>
      <c r="C40" s="19">
        <f ca="1" t="shared" si="19"/>
        <v>1.5</v>
      </c>
      <c r="D40" s="19">
        <f ca="1" t="shared" si="19"/>
        <v>5</v>
      </c>
      <c r="E40" s="19">
        <f ca="1" t="shared" si="19"/>
        <v>6</v>
      </c>
      <c r="F40" s="19">
        <f ca="1" t="shared" si="19"/>
        <v>5.5</v>
      </c>
      <c r="G40" s="19">
        <f ca="1" t="shared" si="19"/>
        <v>6.5</v>
      </c>
    </row>
    <row r="41" ht="16.2" spans="1:7">
      <c r="A41" s="19" t="s">
        <v>277</v>
      </c>
      <c r="B41" s="19">
        <f ca="1" t="shared" ref="B41:G41" si="20">MAX(B21:B22)</f>
        <v>5</v>
      </c>
      <c r="C41" s="19">
        <f ca="1" t="shared" si="20"/>
        <v>2</v>
      </c>
      <c r="D41" s="19">
        <f ca="1" t="shared" si="20"/>
        <v>5</v>
      </c>
      <c r="E41" s="19">
        <f ca="1" t="shared" si="20"/>
        <v>6</v>
      </c>
      <c r="F41" s="19">
        <f ca="1" t="shared" si="20"/>
        <v>6</v>
      </c>
      <c r="G41" s="19">
        <f ca="1" t="shared" si="20"/>
        <v>7</v>
      </c>
    </row>
    <row r="42" ht="16.2" spans="1:7">
      <c r="A42" s="19" t="s">
        <v>278</v>
      </c>
      <c r="B42" s="19">
        <f ca="1" t="shared" ref="B42:G42" si="21">MIN(B21:B22)</f>
        <v>3</v>
      </c>
      <c r="C42" s="19">
        <f ca="1" t="shared" si="21"/>
        <v>1</v>
      </c>
      <c r="D42" s="19">
        <f ca="1" t="shared" si="21"/>
        <v>5</v>
      </c>
      <c r="E42" s="19">
        <f ca="1" t="shared" si="21"/>
        <v>6</v>
      </c>
      <c r="F42" s="19">
        <f ca="1" t="shared" si="21"/>
        <v>5</v>
      </c>
      <c r="G42" s="19">
        <f ca="1" t="shared" si="21"/>
        <v>6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pane ySplit="1" topLeftCell="A14" activePane="bottomLeft" state="frozen"/>
      <selection/>
      <selection pane="bottomLeft" activeCell="J32" sqref="J32"/>
    </sheetView>
  </sheetViews>
  <sheetFormatPr defaultColWidth="9" defaultRowHeight="14.4" outlineLevelCol="6"/>
  <cols>
    <col min="1" max="1" width="17.4444444444444" style="1" customWidth="1"/>
    <col min="2" max="5" width="9" style="25"/>
    <col min="6" max="6" width="13" style="25" customWidth="1"/>
    <col min="7" max="7" width="16.5555555555556" style="25" customWidth="1"/>
  </cols>
  <sheetData>
    <row r="1" ht="16.2" spans="1:7">
      <c r="A1" s="2" t="s">
        <v>21</v>
      </c>
      <c r="B1" s="3" t="s">
        <v>6</v>
      </c>
      <c r="C1" s="3" t="s">
        <v>7</v>
      </c>
      <c r="D1" s="3" t="s">
        <v>8</v>
      </c>
      <c r="E1" s="4" t="s">
        <v>9</v>
      </c>
      <c r="F1" s="5" t="s">
        <v>254</v>
      </c>
      <c r="G1" s="5" t="s">
        <v>255</v>
      </c>
    </row>
    <row r="2" ht="16.2" spans="1:7">
      <c r="A2" s="6" t="s">
        <v>14</v>
      </c>
      <c r="B2" s="7" cm="1">
        <f ca="1" t="array" ref="B2">INDIRECT("装备牌部件!G"&amp;(ROW()-2)*6+6)</f>
        <v>1</v>
      </c>
      <c r="C2" s="7" cm="1">
        <f ca="1" t="array" ref="C2">INDIRECT("装备牌部件!H"&amp;(ROW()-2)*6+6)</f>
        <v>2</v>
      </c>
      <c r="D2" s="7" cm="1">
        <f ca="1" t="array" ref="D2">INDIRECT("装备牌部件!I"&amp;(ROW()-2)*6+6)</f>
        <v>2</v>
      </c>
      <c r="E2" s="8" cm="1">
        <f ca="1" t="array" ref="E2">INDIRECT("装备牌部件!J"&amp;(ROW()-2)*6+6)</f>
        <v>3</v>
      </c>
      <c r="F2" s="9">
        <f ca="1" t="shared" ref="F2:F22" si="0">B2+C2</f>
        <v>3</v>
      </c>
      <c r="G2" s="9">
        <f ca="1" t="shared" ref="G2:G22" si="1">C2+D2</f>
        <v>4</v>
      </c>
    </row>
    <row r="3" ht="16.2" spans="1:7">
      <c r="A3" s="6" t="s">
        <v>23</v>
      </c>
      <c r="B3" s="7" cm="1">
        <f ca="1" t="array" ref="B3">INDIRECT("装备牌部件!G"&amp;(ROW()-2)*6+6)</f>
        <v>2</v>
      </c>
      <c r="C3" s="7" cm="1">
        <f ca="1" t="array" ref="C3">INDIRECT("装备牌部件!H"&amp;(ROW()-2)*6+6)</f>
        <v>2</v>
      </c>
      <c r="D3" s="7" cm="1">
        <f ca="1" t="array" ref="D3">INDIRECT("装备牌部件!I"&amp;(ROW()-2)*6+6)</f>
        <v>2</v>
      </c>
      <c r="E3" s="8" cm="1">
        <f ca="1" t="array" ref="E3">INDIRECT("装备牌部件!J"&amp;(ROW()-2)*6+6)</f>
        <v>3</v>
      </c>
      <c r="F3" s="9">
        <f ca="1" t="shared" si="0"/>
        <v>4</v>
      </c>
      <c r="G3" s="9">
        <f ca="1" t="shared" si="1"/>
        <v>4</v>
      </c>
    </row>
    <row r="4" ht="16.2" spans="1:7">
      <c r="A4" s="6" t="s">
        <v>30</v>
      </c>
      <c r="B4" s="7" cm="1">
        <f ca="1" t="array" ref="B4">INDIRECT("装备牌部件!G"&amp;(ROW()-2)*6+6)</f>
        <v>1</v>
      </c>
      <c r="C4" s="7" cm="1">
        <f ca="1" t="array" ref="C4">INDIRECT("装备牌部件!H"&amp;(ROW()-2)*6+6)</f>
        <v>1</v>
      </c>
      <c r="D4" s="7" cm="1">
        <f ca="1" t="array" ref="D4">INDIRECT("装备牌部件!I"&amp;(ROW()-2)*6+6)</f>
        <v>2</v>
      </c>
      <c r="E4" s="8" cm="1">
        <f ca="1" t="array" ref="E4">INDIRECT("装备牌部件!J"&amp;(ROW()-2)*6+6)</f>
        <v>3</v>
      </c>
      <c r="F4" s="9">
        <f ca="1" t="shared" si="0"/>
        <v>2</v>
      </c>
      <c r="G4" s="9">
        <f ca="1" t="shared" si="1"/>
        <v>3</v>
      </c>
    </row>
    <row r="5" ht="16.2" spans="1:7">
      <c r="A5" s="6" t="s">
        <v>37</v>
      </c>
      <c r="B5" s="7" cm="1">
        <f ca="1" t="array" ref="B5">INDIRECT("装备牌部件!G"&amp;(ROW()-2)*6+6)</f>
        <v>2</v>
      </c>
      <c r="C5" s="7" cm="1">
        <f ca="1" t="array" ref="C5">INDIRECT("装备牌部件!H"&amp;(ROW()-2)*6+6)</f>
        <v>2</v>
      </c>
      <c r="D5" s="7" cm="1">
        <f ca="1" t="array" ref="D5">INDIRECT("装备牌部件!I"&amp;(ROW()-2)*6+6)</f>
        <v>2</v>
      </c>
      <c r="E5" s="8" cm="1">
        <f ca="1" t="array" ref="E5">INDIRECT("装备牌部件!J"&amp;(ROW()-2)*6+6)</f>
        <v>3</v>
      </c>
      <c r="F5" s="9">
        <f ca="1" t="shared" si="0"/>
        <v>4</v>
      </c>
      <c r="G5" s="9">
        <f ca="1" t="shared" si="1"/>
        <v>4</v>
      </c>
    </row>
    <row r="6" ht="16.2" spans="1:7">
      <c r="A6" s="6" t="s">
        <v>41</v>
      </c>
      <c r="B6" s="7" cm="1">
        <f ca="1" t="array" ref="B6">INDIRECT("装备牌部件!G"&amp;(ROW()-2)*6+6)</f>
        <v>0</v>
      </c>
      <c r="C6" s="7" cm="1">
        <f ca="1" t="array" ref="C6">INDIRECT("装备牌部件!H"&amp;(ROW()-2)*6+6)</f>
        <v>4</v>
      </c>
      <c r="D6" s="7" cm="1">
        <f ca="1" t="array" ref="D6">INDIRECT("装备牌部件!I"&amp;(ROW()-2)*6+6)</f>
        <v>2</v>
      </c>
      <c r="E6" s="8" cm="1">
        <f ca="1" t="array" ref="E6">INDIRECT("装备牌部件!J"&amp;(ROW()-2)*6+6)</f>
        <v>3</v>
      </c>
      <c r="F6" s="9">
        <f ca="1" t="shared" si="0"/>
        <v>4</v>
      </c>
      <c r="G6" s="9">
        <f ca="1" t="shared" si="1"/>
        <v>6</v>
      </c>
    </row>
    <row r="7" ht="16.2" spans="1:7">
      <c r="A7" s="6" t="s">
        <v>47</v>
      </c>
      <c r="B7" s="7" cm="1">
        <f ca="1" t="array" ref="B7">INDIRECT("装备牌部件!G"&amp;(ROW()-2)*6+6)</f>
        <v>2</v>
      </c>
      <c r="C7" s="7" cm="1">
        <f ca="1" t="array" ref="C7">INDIRECT("装备牌部件!H"&amp;(ROW()-2)*6+6)</f>
        <v>2</v>
      </c>
      <c r="D7" s="7" cm="1">
        <f ca="1" t="array" ref="D7">INDIRECT("装备牌部件!I"&amp;(ROW()-2)*6+6)</f>
        <v>2</v>
      </c>
      <c r="E7" s="8" cm="1">
        <f ca="1" t="array" ref="E7">INDIRECT("装备牌部件!J"&amp;(ROW()-2)*6+6)</f>
        <v>3</v>
      </c>
      <c r="F7" s="9">
        <f ca="1" t="shared" si="0"/>
        <v>4</v>
      </c>
      <c r="G7" s="9">
        <f ca="1" t="shared" si="1"/>
        <v>4</v>
      </c>
    </row>
    <row r="8" ht="16.2" spans="1:7">
      <c r="A8" s="6" t="s">
        <v>54</v>
      </c>
      <c r="B8" s="7" cm="1">
        <f ca="1" t="array" ref="B8">INDIRECT("装备牌部件!G"&amp;(ROW()-2)*6+6)</f>
        <v>1</v>
      </c>
      <c r="C8" s="7" cm="1">
        <f ca="1" t="array" ref="C8">INDIRECT("装备牌部件!H"&amp;(ROW()-2)*6+6)</f>
        <v>3</v>
      </c>
      <c r="D8" s="7" cm="1">
        <f ca="1" t="array" ref="D8">INDIRECT("装备牌部件!I"&amp;(ROW()-2)*6+6)</f>
        <v>2</v>
      </c>
      <c r="E8" s="8" cm="1">
        <f ca="1" t="array" ref="E8">INDIRECT("装备牌部件!J"&amp;(ROW()-2)*6+6)</f>
        <v>3</v>
      </c>
      <c r="F8" s="9">
        <f ca="1" t="shared" si="0"/>
        <v>4</v>
      </c>
      <c r="G8" s="9">
        <f ca="1" t="shared" si="1"/>
        <v>5</v>
      </c>
    </row>
    <row r="9" ht="16.2" spans="1:7">
      <c r="A9" s="10" t="s">
        <v>59</v>
      </c>
      <c r="B9" s="11" cm="1">
        <f ca="1" t="array" ref="B9">INDIRECT("装备牌部件!G"&amp;(ROW()-2)*6+6)</f>
        <v>2</v>
      </c>
      <c r="C9" s="11" cm="1">
        <f ca="1" t="array" ref="C9">INDIRECT("装备牌部件!H"&amp;(ROW()-2)*6+6)</f>
        <v>2</v>
      </c>
      <c r="D9" s="11" cm="1">
        <f ca="1" t="array" ref="D9">INDIRECT("装备牌部件!I"&amp;(ROW()-2)*6+6)</f>
        <v>3</v>
      </c>
      <c r="E9" s="12" cm="1">
        <f ca="1" t="array" ref="E9">INDIRECT("装备牌部件!J"&amp;(ROW()-2)*6+6)</f>
        <v>4</v>
      </c>
      <c r="F9" s="13">
        <f ca="1" t="shared" si="0"/>
        <v>4</v>
      </c>
      <c r="G9" s="13">
        <f ca="1" t="shared" si="1"/>
        <v>5</v>
      </c>
    </row>
    <row r="10" ht="16.2" spans="1:7">
      <c r="A10" s="10" t="s">
        <v>63</v>
      </c>
      <c r="B10" s="11" cm="1">
        <f ca="1" t="array" ref="B10">INDIRECT("装备牌部件!G"&amp;(ROW()-2)*6+6)</f>
        <v>2</v>
      </c>
      <c r="C10" s="11" cm="1">
        <f ca="1" t="array" ref="C10">INDIRECT("装备牌部件!H"&amp;(ROW()-2)*6+6)</f>
        <v>2</v>
      </c>
      <c r="D10" s="11" cm="1">
        <f ca="1" t="array" ref="D10">INDIRECT("装备牌部件!I"&amp;(ROW()-2)*6+6)</f>
        <v>3</v>
      </c>
      <c r="E10" s="12" cm="1">
        <f ca="1" t="array" ref="E10">INDIRECT("装备牌部件!J"&amp;(ROW()-2)*6+6)</f>
        <v>4</v>
      </c>
      <c r="F10" s="13">
        <f ca="1" t="shared" si="0"/>
        <v>4</v>
      </c>
      <c r="G10" s="13">
        <f ca="1" t="shared" si="1"/>
        <v>5</v>
      </c>
    </row>
    <row r="11" ht="16.2" spans="1:7">
      <c r="A11" s="10" t="s">
        <v>69</v>
      </c>
      <c r="B11" s="11" cm="1">
        <f ca="1" t="array" ref="B11">INDIRECT("装备牌部件!G"&amp;(ROW()-2)*6+6)</f>
        <v>1</v>
      </c>
      <c r="C11" s="11" cm="1">
        <f ca="1" t="array" ref="C11">INDIRECT("装备牌部件!H"&amp;(ROW()-2)*6+6)</f>
        <v>3</v>
      </c>
      <c r="D11" s="11" cm="1">
        <f ca="1" t="array" ref="D11">INDIRECT("装备牌部件!I"&amp;(ROW()-2)*6+6)</f>
        <v>3</v>
      </c>
      <c r="E11" s="12" cm="1">
        <f ca="1" t="array" ref="E11">INDIRECT("装备牌部件!J"&amp;(ROW()-2)*6+6)</f>
        <v>4</v>
      </c>
      <c r="F11" s="13">
        <f ca="1" t="shared" si="0"/>
        <v>4</v>
      </c>
      <c r="G11" s="13">
        <f ca="1" t="shared" si="1"/>
        <v>6</v>
      </c>
    </row>
    <row r="12" ht="16.2" spans="1:7">
      <c r="A12" s="10" t="s">
        <v>75</v>
      </c>
      <c r="B12" s="11" cm="1">
        <f ca="1" t="array" ref="B12">INDIRECT("装备牌部件!G"&amp;(ROW()-2)*6+6)</f>
        <v>3</v>
      </c>
      <c r="C12" s="11" cm="1">
        <f ca="1" t="array" ref="C12">INDIRECT("装备牌部件!H"&amp;(ROW()-2)*6+6)</f>
        <v>2</v>
      </c>
      <c r="D12" s="11" cm="1">
        <f ca="1" t="array" ref="D12">INDIRECT("装备牌部件!I"&amp;(ROW()-2)*6+6)</f>
        <v>3</v>
      </c>
      <c r="E12" s="12" cm="1">
        <f ca="1" t="array" ref="E12">INDIRECT("装备牌部件!J"&amp;(ROW()-2)*6+6)</f>
        <v>4</v>
      </c>
      <c r="F12" s="13">
        <f ca="1" t="shared" si="0"/>
        <v>5</v>
      </c>
      <c r="G12" s="13">
        <f ca="1" t="shared" si="1"/>
        <v>5</v>
      </c>
    </row>
    <row r="13" ht="16.2" spans="1:7">
      <c r="A13" s="10" t="s">
        <v>79</v>
      </c>
      <c r="B13" s="11" cm="1">
        <f ca="1" t="array" ref="B13">INDIRECT("装备牌部件!G"&amp;(ROW()-2)*6+6)</f>
        <v>1</v>
      </c>
      <c r="C13" s="11" cm="1">
        <f ca="1" t="array" ref="C13">INDIRECT("装备牌部件!H"&amp;(ROW()-2)*6+6)</f>
        <v>4</v>
      </c>
      <c r="D13" s="11" cm="1">
        <f ca="1" t="array" ref="D13">INDIRECT("装备牌部件!I"&amp;(ROW()-2)*6+6)</f>
        <v>3</v>
      </c>
      <c r="E13" s="12" cm="1">
        <f ca="1" t="array" ref="E13">INDIRECT("装备牌部件!J"&amp;(ROW()-2)*6+6)</f>
        <v>4</v>
      </c>
      <c r="F13" s="13">
        <f ca="1" t="shared" si="0"/>
        <v>5</v>
      </c>
      <c r="G13" s="13">
        <f ca="1" t="shared" si="1"/>
        <v>7</v>
      </c>
    </row>
    <row r="14" ht="16.2" spans="1:7">
      <c r="A14" s="10" t="s">
        <v>256</v>
      </c>
      <c r="B14" s="11" cm="1">
        <f ca="1" t="array" ref="B14">INDIRECT("装备牌部件!G"&amp;(ROW()-2)*6+6)</f>
        <v>2</v>
      </c>
      <c r="C14" s="11" cm="1">
        <f ca="1" t="array" ref="C14">INDIRECT("装备牌部件!H"&amp;(ROW()-2)*6+6)</f>
        <v>3</v>
      </c>
      <c r="D14" s="11" cm="1">
        <f ca="1" t="array" ref="D14">INDIRECT("装备牌部件!I"&amp;(ROW()-2)*6+6)</f>
        <v>3</v>
      </c>
      <c r="E14" s="12" cm="1">
        <f ca="1" t="array" ref="E14">INDIRECT("装备牌部件!J"&amp;(ROW()-2)*6+6)</f>
        <v>4</v>
      </c>
      <c r="F14" s="13">
        <f ca="1" t="shared" si="0"/>
        <v>5</v>
      </c>
      <c r="G14" s="13">
        <f ca="1" t="shared" si="1"/>
        <v>6</v>
      </c>
    </row>
    <row r="15" ht="16.2" spans="1:7">
      <c r="A15" s="10" t="s">
        <v>257</v>
      </c>
      <c r="B15" s="11" cm="1">
        <f ca="1" t="array" ref="B15">INDIRECT("装备牌部件!G"&amp;(ROW()-2)*6+6)</f>
        <v>2</v>
      </c>
      <c r="C15" s="11" cm="1">
        <f ca="1" t="array" ref="C15">INDIRECT("装备牌部件!H"&amp;(ROW()-2)*6+6)</f>
        <v>3</v>
      </c>
      <c r="D15" s="11" cm="1">
        <f ca="1" t="array" ref="D15">INDIRECT("装备牌部件!I"&amp;(ROW()-2)*6+6)</f>
        <v>3</v>
      </c>
      <c r="E15" s="12" cm="1">
        <f ca="1" t="array" ref="E15">INDIRECT("装备牌部件!J"&amp;(ROW()-2)*6+6)</f>
        <v>4</v>
      </c>
      <c r="F15" s="13">
        <f ca="1" t="shared" si="0"/>
        <v>5</v>
      </c>
      <c r="G15" s="13">
        <f ca="1" t="shared" si="1"/>
        <v>6</v>
      </c>
    </row>
    <row r="16" ht="16.2" spans="1:7">
      <c r="A16" s="14" t="s">
        <v>98</v>
      </c>
      <c r="B16" s="15" cm="1">
        <f ca="1" t="array" ref="B16">INDIRECT("装备牌部件!G"&amp;(ROW()-2)*6+6)</f>
        <v>2</v>
      </c>
      <c r="C16" s="15" cm="1">
        <f ca="1" t="array" ref="C16">INDIRECT("装备牌部件!H"&amp;(ROW()-2)*6+6)</f>
        <v>3</v>
      </c>
      <c r="D16" s="15" cm="1">
        <f ca="1" t="array" ref="D16">INDIRECT("装备牌部件!I"&amp;(ROW()-2)*6+6)</f>
        <v>4</v>
      </c>
      <c r="E16" s="15" cm="1">
        <f ca="1" t="array" ref="E16">INDIRECT("装备牌部件!J"&amp;(ROW()-2)*6+6)</f>
        <v>5</v>
      </c>
      <c r="F16" s="15">
        <f ca="1" t="shared" si="0"/>
        <v>5</v>
      </c>
      <c r="G16" s="15">
        <f ca="1" t="shared" si="1"/>
        <v>7</v>
      </c>
    </row>
    <row r="17" ht="16.2" spans="1:7">
      <c r="A17" s="15" t="s">
        <v>103</v>
      </c>
      <c r="B17" s="15" cm="1">
        <f ca="1" t="array" ref="B17">INDIRECT("装备牌部件!G"&amp;(ROW()-2)*6+6)</f>
        <v>2</v>
      </c>
      <c r="C17" s="15" cm="1">
        <f ca="1" t="array" ref="C17">INDIRECT("装备牌部件!H"&amp;(ROW()-2)*6+6)</f>
        <v>3</v>
      </c>
      <c r="D17" s="15" cm="1">
        <f ca="1" t="array" ref="D17">INDIRECT("装备牌部件!I"&amp;(ROW()-2)*6+6)</f>
        <v>4</v>
      </c>
      <c r="E17" s="15" cm="1">
        <f ca="1" t="array" ref="E17">INDIRECT("装备牌部件!J"&amp;(ROW()-2)*6+6)</f>
        <v>5</v>
      </c>
      <c r="F17" s="15">
        <f ca="1" t="shared" si="0"/>
        <v>5</v>
      </c>
      <c r="G17" s="15">
        <f ca="1" t="shared" si="1"/>
        <v>7</v>
      </c>
    </row>
    <row r="18" ht="16.2" spans="1:7">
      <c r="A18" s="15" t="s">
        <v>108</v>
      </c>
      <c r="B18" s="15" cm="1">
        <f ca="1" t="array" ref="B18">INDIRECT("装备牌部件!G"&amp;(ROW()-2)*6+6)</f>
        <v>3</v>
      </c>
      <c r="C18" s="15" cm="1">
        <f ca="1" t="array" ref="C18">INDIRECT("装备牌部件!H"&amp;(ROW()-2)*6+6)</f>
        <v>3</v>
      </c>
      <c r="D18" s="15" cm="1">
        <f ca="1" t="array" ref="D18">INDIRECT("装备牌部件!I"&amp;(ROW()-2)*6+6)</f>
        <v>4</v>
      </c>
      <c r="E18" s="15" cm="1">
        <f ca="1" t="array" ref="E18">INDIRECT("装备牌部件!J"&amp;(ROW()-2)*6+6)</f>
        <v>5</v>
      </c>
      <c r="F18" s="15">
        <f ca="1" t="shared" si="0"/>
        <v>6</v>
      </c>
      <c r="G18" s="15">
        <f ca="1" t="shared" si="1"/>
        <v>7</v>
      </c>
    </row>
    <row r="19" ht="16.2" spans="1:7">
      <c r="A19" s="15" t="s">
        <v>112</v>
      </c>
      <c r="B19" s="15" cm="1">
        <f ca="1" t="array" ref="B19">INDIRECT("装备牌部件!G"&amp;(ROW()-2)*6+6)</f>
        <v>2</v>
      </c>
      <c r="C19" s="15" cm="1">
        <f ca="1" t="array" ref="C19">INDIRECT("装备牌部件!H"&amp;(ROW()-2)*6+6)</f>
        <v>3</v>
      </c>
      <c r="D19" s="15" cm="1">
        <f ca="1" t="array" ref="D19">INDIRECT("装备牌部件!I"&amp;(ROW()-2)*6+6)</f>
        <v>4</v>
      </c>
      <c r="E19" s="15" cm="1">
        <f ca="1" t="array" ref="E19">INDIRECT("装备牌部件!J"&amp;(ROW()-2)*6+6)</f>
        <v>5</v>
      </c>
      <c r="F19" s="15">
        <f ca="1" t="shared" si="0"/>
        <v>5</v>
      </c>
      <c r="G19" s="15">
        <f ca="1" t="shared" si="1"/>
        <v>7</v>
      </c>
    </row>
    <row r="20" ht="16.2" spans="1:7">
      <c r="A20" s="15" t="s">
        <v>258</v>
      </c>
      <c r="B20" s="15" cm="1">
        <f ca="1" t="array" ref="B20">INDIRECT("装备牌部件!G"&amp;(ROW()-2)*6+6)</f>
        <v>2</v>
      </c>
      <c r="C20" s="15" cm="1">
        <f ca="1" t="array" ref="C20">INDIRECT("装备牌部件!H"&amp;(ROW()-2)*6+6)</f>
        <v>4</v>
      </c>
      <c r="D20" s="15" cm="1">
        <f ca="1" t="array" ref="D20">INDIRECT("装备牌部件!I"&amp;(ROW()-2)*6+6)</f>
        <v>4</v>
      </c>
      <c r="E20" s="15" cm="1">
        <f ca="1" t="array" ref="E20">INDIRECT("装备牌部件!J"&amp;(ROW()-2)*6+6)</f>
        <v>5</v>
      </c>
      <c r="F20" s="15">
        <f ca="1" t="shared" si="0"/>
        <v>6</v>
      </c>
      <c r="G20" s="15">
        <f ca="1" t="shared" si="1"/>
        <v>8</v>
      </c>
    </row>
    <row r="21" ht="16.2" spans="1:7">
      <c r="A21" s="16" t="s">
        <v>124</v>
      </c>
      <c r="B21" s="17" cm="1">
        <f ca="1" t="array" ref="B21">INDIRECT("装备牌部件!G"&amp;(ROW()-2)*6+6)</f>
        <v>3</v>
      </c>
      <c r="C21" s="17" cm="1">
        <f ca="1" t="array" ref="C21">INDIRECT("装备牌部件!H"&amp;(ROW()-2)*6+6)</f>
        <v>3</v>
      </c>
      <c r="D21" s="17" cm="1">
        <f ca="1" t="array" ref="D21">INDIRECT("装备牌部件!I"&amp;(ROW()-2)*6+6)</f>
        <v>5</v>
      </c>
      <c r="E21" s="18" cm="1">
        <f ca="1" t="array" ref="E21">INDIRECT("装备牌部件!J"&amp;(ROW()-2)*6+6)</f>
        <v>7</v>
      </c>
      <c r="F21" s="19">
        <f ca="1" t="shared" si="0"/>
        <v>6</v>
      </c>
      <c r="G21" s="19">
        <f ca="1" t="shared" si="1"/>
        <v>8</v>
      </c>
    </row>
    <row r="22" ht="16.2" spans="1:7">
      <c r="A22" s="16" t="s">
        <v>132</v>
      </c>
      <c r="B22" s="17" cm="1">
        <f ca="1" t="array" ref="B22">INDIRECT("装备牌部件!G"&amp;(ROW()-2)*6+6)</f>
        <v>4</v>
      </c>
      <c r="C22" s="17" cm="1">
        <f ca="1" t="array" ref="C22">INDIRECT("装备牌部件!H"&amp;(ROW()-2)*6+6)</f>
        <v>3</v>
      </c>
      <c r="D22" s="17" cm="1">
        <f ca="1" t="array" ref="D22">INDIRECT("装备牌部件!I"&amp;(ROW()-2)*6+6)</f>
        <v>5</v>
      </c>
      <c r="E22" s="18" cm="1">
        <f ca="1" t="array" ref="E22">INDIRECT("装备牌部件!J"&amp;(ROW()-2)*6+6)</f>
        <v>7</v>
      </c>
      <c r="F22" s="19">
        <f ca="1" t="shared" si="0"/>
        <v>7</v>
      </c>
      <c r="G22" s="19">
        <f ca="1" t="shared" si="1"/>
        <v>8</v>
      </c>
    </row>
    <row r="23" ht="16.2" spans="1:7">
      <c r="A23" s="5" t="s">
        <v>259</v>
      </c>
      <c r="B23" s="5">
        <f ca="1" t="shared" ref="B23:G23" si="2">SUM(B2:B22)</f>
        <v>40</v>
      </c>
      <c r="C23" s="5">
        <f ca="1" t="shared" si="2"/>
        <v>57</v>
      </c>
      <c r="D23" s="5">
        <f ca="1" t="shared" si="2"/>
        <v>65</v>
      </c>
      <c r="E23" s="5">
        <f ca="1" t="shared" si="2"/>
        <v>88</v>
      </c>
      <c r="F23" s="5">
        <f ca="1" t="shared" si="2"/>
        <v>97</v>
      </c>
      <c r="G23" s="5">
        <f ca="1" t="shared" si="2"/>
        <v>122</v>
      </c>
    </row>
    <row r="24" ht="16.2" spans="1:7">
      <c r="A24" s="5" t="s">
        <v>260</v>
      </c>
      <c r="B24" s="5">
        <f ca="1" t="shared" ref="B24:G24" si="3">B23/21</f>
        <v>1.9047619047619</v>
      </c>
      <c r="C24" s="5">
        <f ca="1" t="shared" si="3"/>
        <v>2.71428571428571</v>
      </c>
      <c r="D24" s="5">
        <f ca="1" t="shared" si="3"/>
        <v>3.0952380952381</v>
      </c>
      <c r="E24" s="5">
        <f ca="1" t="shared" si="3"/>
        <v>4.19047619047619</v>
      </c>
      <c r="F24" s="5">
        <f ca="1" t="shared" si="3"/>
        <v>4.61904761904762</v>
      </c>
      <c r="G24" s="5">
        <f ca="1" t="shared" si="3"/>
        <v>5.80952380952381</v>
      </c>
    </row>
    <row r="25" ht="16.2" spans="1:7">
      <c r="A25" s="5" t="s">
        <v>261</v>
      </c>
      <c r="B25" s="5">
        <f ca="1" t="shared" ref="B25:G25" si="4">MAX(B2:B22)</f>
        <v>4</v>
      </c>
      <c r="C25" s="5">
        <f ca="1" t="shared" si="4"/>
        <v>4</v>
      </c>
      <c r="D25" s="5">
        <f ca="1" t="shared" si="4"/>
        <v>5</v>
      </c>
      <c r="E25" s="5">
        <f ca="1" t="shared" si="4"/>
        <v>7</v>
      </c>
      <c r="F25" s="5">
        <f ca="1" t="shared" si="4"/>
        <v>7</v>
      </c>
      <c r="G25" s="5">
        <f ca="1" t="shared" si="4"/>
        <v>8</v>
      </c>
    </row>
    <row r="26" ht="16.2" spans="1:7">
      <c r="A26" s="5" t="s">
        <v>262</v>
      </c>
      <c r="B26" s="5">
        <f ca="1" t="shared" ref="B26:G26" si="5">MIN(B2:B22)</f>
        <v>0</v>
      </c>
      <c r="C26" s="5">
        <f ca="1" t="shared" si="5"/>
        <v>1</v>
      </c>
      <c r="D26" s="5">
        <f ca="1" t="shared" si="5"/>
        <v>2</v>
      </c>
      <c r="E26" s="5">
        <f ca="1" t="shared" si="5"/>
        <v>3</v>
      </c>
      <c r="F26" s="5">
        <f ca="1" t="shared" si="5"/>
        <v>2</v>
      </c>
      <c r="G26" s="5">
        <f ca="1" t="shared" si="5"/>
        <v>3</v>
      </c>
    </row>
    <row r="27" ht="16.2" spans="1:7">
      <c r="A27" s="9" t="s">
        <v>263</v>
      </c>
      <c r="B27" s="9">
        <f ca="1" t="shared" ref="B27:G27" si="6">SUM(B2:B8)</f>
        <v>9</v>
      </c>
      <c r="C27" s="9">
        <f ca="1" t="shared" si="6"/>
        <v>16</v>
      </c>
      <c r="D27" s="9">
        <f ca="1" t="shared" si="6"/>
        <v>14</v>
      </c>
      <c r="E27" s="9">
        <f ca="1" t="shared" si="6"/>
        <v>21</v>
      </c>
      <c r="F27" s="9">
        <f ca="1" t="shared" si="6"/>
        <v>25</v>
      </c>
      <c r="G27" s="9">
        <f ca="1" t="shared" si="6"/>
        <v>30</v>
      </c>
    </row>
    <row r="28" ht="16.2" spans="1:7">
      <c r="A28" s="9" t="s">
        <v>264</v>
      </c>
      <c r="B28" s="9">
        <f ca="1" t="shared" ref="B28:G28" si="7">B27/7</f>
        <v>1.28571428571429</v>
      </c>
      <c r="C28" s="9">
        <f ca="1" t="shared" si="7"/>
        <v>2.28571428571429</v>
      </c>
      <c r="D28" s="9">
        <f ca="1" t="shared" si="7"/>
        <v>2</v>
      </c>
      <c r="E28" s="9">
        <f ca="1" t="shared" si="7"/>
        <v>3</v>
      </c>
      <c r="F28" s="9">
        <f ca="1" t="shared" si="7"/>
        <v>3.57142857142857</v>
      </c>
      <c r="G28" s="9">
        <f ca="1" t="shared" si="7"/>
        <v>4.28571428571429</v>
      </c>
    </row>
    <row r="29" ht="16.2" spans="1:7">
      <c r="A29" s="9" t="s">
        <v>265</v>
      </c>
      <c r="B29" s="9">
        <f ca="1" t="shared" ref="B29:G29" si="8">MAX(B2:B8)</f>
        <v>2</v>
      </c>
      <c r="C29" s="9">
        <f ca="1" t="shared" si="8"/>
        <v>4</v>
      </c>
      <c r="D29" s="9">
        <f ca="1" t="shared" si="8"/>
        <v>2</v>
      </c>
      <c r="E29" s="9">
        <f ca="1" t="shared" si="8"/>
        <v>3</v>
      </c>
      <c r="F29" s="9">
        <f ca="1" t="shared" si="8"/>
        <v>4</v>
      </c>
      <c r="G29" s="9">
        <f ca="1" t="shared" si="8"/>
        <v>6</v>
      </c>
    </row>
    <row r="30" ht="16.2" spans="1:7">
      <c r="A30" s="9" t="s">
        <v>266</v>
      </c>
      <c r="B30" s="9">
        <f ca="1" t="shared" ref="B30:G30" si="9">MIN(B2:B8)</f>
        <v>0</v>
      </c>
      <c r="C30" s="9">
        <f ca="1" t="shared" si="9"/>
        <v>1</v>
      </c>
      <c r="D30" s="9">
        <f ca="1" t="shared" si="9"/>
        <v>2</v>
      </c>
      <c r="E30" s="9">
        <f ca="1" t="shared" si="9"/>
        <v>3</v>
      </c>
      <c r="F30" s="9">
        <f ca="1" t="shared" si="9"/>
        <v>2</v>
      </c>
      <c r="G30" s="9">
        <f ca="1" t="shared" si="9"/>
        <v>3</v>
      </c>
    </row>
    <row r="31" ht="16.2" spans="1:7">
      <c r="A31" s="13" t="s">
        <v>267</v>
      </c>
      <c r="B31" s="13">
        <f ca="1" t="shared" ref="B31:G31" si="10">SUM(B9:B15)</f>
        <v>13</v>
      </c>
      <c r="C31" s="13">
        <f ca="1" t="shared" si="10"/>
        <v>19</v>
      </c>
      <c r="D31" s="13">
        <f ca="1" t="shared" si="10"/>
        <v>21</v>
      </c>
      <c r="E31" s="13">
        <f ca="1" t="shared" si="10"/>
        <v>28</v>
      </c>
      <c r="F31" s="13">
        <f ca="1" t="shared" si="10"/>
        <v>32</v>
      </c>
      <c r="G31" s="13">
        <f ca="1" t="shared" si="10"/>
        <v>40</v>
      </c>
    </row>
    <row r="32" ht="16.2" spans="1:7">
      <c r="A32" s="13" t="s">
        <v>268</v>
      </c>
      <c r="B32" s="13">
        <f ca="1" t="shared" ref="B32:G32" si="11">B31/7</f>
        <v>1.85714285714286</v>
      </c>
      <c r="C32" s="13">
        <f ca="1" t="shared" si="11"/>
        <v>2.71428571428571</v>
      </c>
      <c r="D32" s="13">
        <f ca="1" t="shared" si="11"/>
        <v>3</v>
      </c>
      <c r="E32" s="13">
        <f ca="1" t="shared" si="11"/>
        <v>4</v>
      </c>
      <c r="F32" s="13">
        <f ca="1" t="shared" si="11"/>
        <v>4.57142857142857</v>
      </c>
      <c r="G32" s="13">
        <f ca="1" t="shared" si="11"/>
        <v>5.71428571428571</v>
      </c>
    </row>
    <row r="33" ht="16.2" spans="1:7">
      <c r="A33" s="13" t="s">
        <v>269</v>
      </c>
      <c r="B33" s="13">
        <f ca="1" t="shared" ref="B33:G33" si="12">MAX(B9:B15)</f>
        <v>3</v>
      </c>
      <c r="C33" s="13">
        <f ca="1" t="shared" si="12"/>
        <v>4</v>
      </c>
      <c r="D33" s="13">
        <f ca="1" t="shared" si="12"/>
        <v>3</v>
      </c>
      <c r="E33" s="13">
        <f ca="1" t="shared" si="12"/>
        <v>4</v>
      </c>
      <c r="F33" s="13">
        <f ca="1" t="shared" si="12"/>
        <v>5</v>
      </c>
      <c r="G33" s="13">
        <f ca="1" t="shared" si="12"/>
        <v>7</v>
      </c>
    </row>
    <row r="34" ht="16.2" spans="1:7">
      <c r="A34" s="13" t="s">
        <v>270</v>
      </c>
      <c r="B34" s="13">
        <f ca="1" t="shared" ref="B34:G34" si="13">MIN(B9:B15)</f>
        <v>1</v>
      </c>
      <c r="C34" s="13">
        <f ca="1" t="shared" si="13"/>
        <v>2</v>
      </c>
      <c r="D34" s="13">
        <f ca="1" t="shared" si="13"/>
        <v>3</v>
      </c>
      <c r="E34" s="13">
        <f ca="1" t="shared" si="13"/>
        <v>4</v>
      </c>
      <c r="F34" s="13">
        <f ca="1" t="shared" si="13"/>
        <v>4</v>
      </c>
      <c r="G34" s="13">
        <f ca="1" t="shared" si="13"/>
        <v>5</v>
      </c>
    </row>
    <row r="35" ht="16.2" spans="1:7">
      <c r="A35" s="15" t="s">
        <v>271</v>
      </c>
      <c r="B35" s="15">
        <f ca="1" t="shared" ref="B35:G35" si="14">SUM(B17:B20)</f>
        <v>9</v>
      </c>
      <c r="C35" s="15">
        <f ca="1" t="shared" si="14"/>
        <v>13</v>
      </c>
      <c r="D35" s="15">
        <f ca="1" t="shared" si="14"/>
        <v>16</v>
      </c>
      <c r="E35" s="15">
        <f ca="1" t="shared" si="14"/>
        <v>20</v>
      </c>
      <c r="F35" s="15">
        <f ca="1" t="shared" si="14"/>
        <v>22</v>
      </c>
      <c r="G35" s="15">
        <f ca="1" t="shared" si="14"/>
        <v>29</v>
      </c>
    </row>
    <row r="36" ht="16.2" spans="1:7">
      <c r="A36" s="15" t="s">
        <v>272</v>
      </c>
      <c r="B36" s="15">
        <f ca="1" t="shared" ref="B36:G36" si="15">B35/4</f>
        <v>2.25</v>
      </c>
      <c r="C36" s="15">
        <f ca="1" t="shared" si="15"/>
        <v>3.25</v>
      </c>
      <c r="D36" s="15">
        <f ca="1" t="shared" si="15"/>
        <v>4</v>
      </c>
      <c r="E36" s="15">
        <f ca="1" t="shared" si="15"/>
        <v>5</v>
      </c>
      <c r="F36" s="15">
        <f ca="1" t="shared" si="15"/>
        <v>5.5</v>
      </c>
      <c r="G36" s="15">
        <f ca="1" t="shared" si="15"/>
        <v>7.25</v>
      </c>
    </row>
    <row r="37" ht="16.2" spans="1:7">
      <c r="A37" s="15" t="s">
        <v>273</v>
      </c>
      <c r="B37" s="15">
        <f ca="1" t="shared" ref="B37:G37" si="16">MAX(B17:B20)</f>
        <v>3</v>
      </c>
      <c r="C37" s="15">
        <f ca="1" t="shared" si="16"/>
        <v>4</v>
      </c>
      <c r="D37" s="15">
        <f ca="1" t="shared" si="16"/>
        <v>4</v>
      </c>
      <c r="E37" s="15">
        <f ca="1" t="shared" si="16"/>
        <v>5</v>
      </c>
      <c r="F37" s="15">
        <f ca="1" t="shared" si="16"/>
        <v>6</v>
      </c>
      <c r="G37" s="15">
        <f ca="1" t="shared" si="16"/>
        <v>8</v>
      </c>
    </row>
    <row r="38" ht="16.2" spans="1:7">
      <c r="A38" s="15" t="s">
        <v>274</v>
      </c>
      <c r="B38" s="15">
        <f ca="1" t="shared" ref="B38:G38" si="17">MIN(B17:B20)</f>
        <v>2</v>
      </c>
      <c r="C38" s="15">
        <f ca="1" t="shared" si="17"/>
        <v>3</v>
      </c>
      <c r="D38" s="15">
        <f ca="1" t="shared" si="17"/>
        <v>4</v>
      </c>
      <c r="E38" s="15">
        <f ca="1" t="shared" si="17"/>
        <v>5</v>
      </c>
      <c r="F38" s="15">
        <f ca="1" t="shared" si="17"/>
        <v>5</v>
      </c>
      <c r="G38" s="15">
        <f ca="1" t="shared" si="17"/>
        <v>7</v>
      </c>
    </row>
    <row r="39" ht="16.2" spans="1:7">
      <c r="A39" s="19" t="s">
        <v>275</v>
      </c>
      <c r="B39" s="19">
        <f ca="1" t="shared" ref="B39:G39" si="18">SUM(B21:B22)</f>
        <v>7</v>
      </c>
      <c r="C39" s="19">
        <f ca="1" t="shared" si="18"/>
        <v>6</v>
      </c>
      <c r="D39" s="19">
        <f ca="1" t="shared" si="18"/>
        <v>10</v>
      </c>
      <c r="E39" s="19">
        <f ca="1" t="shared" si="18"/>
        <v>14</v>
      </c>
      <c r="F39" s="19">
        <f ca="1" t="shared" si="18"/>
        <v>13</v>
      </c>
      <c r="G39" s="19">
        <f ca="1" t="shared" si="18"/>
        <v>16</v>
      </c>
    </row>
    <row r="40" ht="16.2" spans="1:7">
      <c r="A40" s="19" t="s">
        <v>276</v>
      </c>
      <c r="B40" s="19">
        <f ca="1" t="shared" ref="B40:G40" si="19">B39/2</f>
        <v>3.5</v>
      </c>
      <c r="C40" s="19">
        <f ca="1" t="shared" si="19"/>
        <v>3</v>
      </c>
      <c r="D40" s="19">
        <f ca="1" t="shared" si="19"/>
        <v>5</v>
      </c>
      <c r="E40" s="19">
        <f ca="1" t="shared" si="19"/>
        <v>7</v>
      </c>
      <c r="F40" s="19">
        <f ca="1" t="shared" si="19"/>
        <v>6.5</v>
      </c>
      <c r="G40" s="19">
        <f ca="1" t="shared" si="19"/>
        <v>8</v>
      </c>
    </row>
    <row r="41" ht="16.2" spans="1:7">
      <c r="A41" s="19" t="s">
        <v>277</v>
      </c>
      <c r="B41" s="19">
        <f ca="1" t="shared" ref="B41:G41" si="20">MAX(B21:B22)</f>
        <v>4</v>
      </c>
      <c r="C41" s="19">
        <f ca="1" t="shared" si="20"/>
        <v>3</v>
      </c>
      <c r="D41" s="19">
        <f ca="1" t="shared" si="20"/>
        <v>5</v>
      </c>
      <c r="E41" s="19">
        <f ca="1" t="shared" si="20"/>
        <v>7</v>
      </c>
      <c r="F41" s="19">
        <f ca="1" t="shared" si="20"/>
        <v>7</v>
      </c>
      <c r="G41" s="19">
        <f ca="1" t="shared" si="20"/>
        <v>8</v>
      </c>
    </row>
    <row r="42" ht="16.2" spans="1:7">
      <c r="A42" s="19" t="s">
        <v>278</v>
      </c>
      <c r="B42" s="19">
        <f ca="1" t="shared" ref="B42:G42" si="21">MIN(B21:B22)</f>
        <v>3</v>
      </c>
      <c r="C42" s="19">
        <f ca="1" t="shared" si="21"/>
        <v>3</v>
      </c>
      <c r="D42" s="19">
        <f ca="1" t="shared" si="21"/>
        <v>5</v>
      </c>
      <c r="E42" s="19">
        <f ca="1" t="shared" si="21"/>
        <v>7</v>
      </c>
      <c r="F42" s="19">
        <f ca="1" t="shared" si="21"/>
        <v>6</v>
      </c>
      <c r="G42" s="19">
        <f ca="1" t="shared" si="21"/>
        <v>8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workbookViewId="0">
      <pane ySplit="1" topLeftCell="A9" activePane="bottomLeft" state="frozen"/>
      <selection/>
      <selection pane="bottomLeft" activeCell="E24" sqref="E24"/>
    </sheetView>
  </sheetViews>
  <sheetFormatPr defaultColWidth="9" defaultRowHeight="14.4" outlineLevelCol="6"/>
  <cols>
    <col min="1" max="1" width="17.4444444444444" style="1" customWidth="1"/>
    <col min="2" max="4" width="15.6666666666667"/>
    <col min="5" max="5" width="14.3333333333333"/>
    <col min="6" max="6" width="13" customWidth="1"/>
    <col min="7" max="7" width="16.5555555555556" customWidth="1"/>
  </cols>
  <sheetData>
    <row r="1" ht="16.2" spans="1:7">
      <c r="A1" s="2" t="s">
        <v>22</v>
      </c>
      <c r="B1" s="3" t="s">
        <v>6</v>
      </c>
      <c r="C1" s="3" t="s">
        <v>7</v>
      </c>
      <c r="D1" s="3" t="s">
        <v>8</v>
      </c>
      <c r="E1" s="4" t="s">
        <v>9</v>
      </c>
      <c r="F1" s="5" t="s">
        <v>254</v>
      </c>
      <c r="G1" s="5" t="s">
        <v>255</v>
      </c>
    </row>
    <row r="2" ht="16.2" spans="1:7">
      <c r="A2" s="6" t="s">
        <v>14</v>
      </c>
      <c r="B2" s="7" cm="1">
        <f ca="1" t="array" ref="B2">INDIRECT("装备牌部件!G"&amp;(ROW()-2)*6+7)</f>
        <v>1</v>
      </c>
      <c r="C2" s="7" cm="1">
        <f ca="1" t="array" ref="C2">INDIRECT("装备牌部件!H"&amp;(ROW()-2)*6+7)</f>
        <v>2</v>
      </c>
      <c r="D2" s="7" cm="1">
        <f ca="1" t="array" ref="D2">INDIRECT("装备牌部件!I"&amp;(ROW()-2)*6+7)</f>
        <v>2</v>
      </c>
      <c r="E2" s="8" cm="1">
        <f ca="1" t="array" ref="E2">INDIRECT("装备牌部件!J"&amp;(ROW()-2)*6+7)</f>
        <v>3</v>
      </c>
      <c r="F2" s="9">
        <f ca="1" t="shared" ref="F2:F22" si="0">B2+C2</f>
        <v>3</v>
      </c>
      <c r="G2" s="9">
        <f ca="1" t="shared" ref="G2:G22" si="1">C2+D2</f>
        <v>4</v>
      </c>
    </row>
    <row r="3" ht="16.2" spans="1:7">
      <c r="A3" s="6" t="s">
        <v>23</v>
      </c>
      <c r="B3" s="7" cm="1">
        <f ca="1" t="array" ref="B3">INDIRECT("装备牌部件!G"&amp;(ROW()-2)*6+7)</f>
        <v>1</v>
      </c>
      <c r="C3" s="7" cm="1">
        <f ca="1" t="array" ref="C3">INDIRECT("装备牌部件!H"&amp;(ROW()-2)*6+7)</f>
        <v>2</v>
      </c>
      <c r="D3" s="7" cm="1">
        <f ca="1" t="array" ref="D3">INDIRECT("装备牌部件!I"&amp;(ROW()-2)*6+7)</f>
        <v>2</v>
      </c>
      <c r="E3" s="8" cm="1">
        <f ca="1" t="array" ref="E3">INDIRECT("装备牌部件!J"&amp;(ROW()-2)*6+7)</f>
        <v>3</v>
      </c>
      <c r="F3" s="9">
        <f ca="1" t="shared" si="0"/>
        <v>3</v>
      </c>
      <c r="G3" s="9">
        <f ca="1" t="shared" si="1"/>
        <v>4</v>
      </c>
    </row>
    <row r="4" ht="16.2" spans="1:7">
      <c r="A4" s="6" t="s">
        <v>30</v>
      </c>
      <c r="B4" s="7" cm="1">
        <f ca="1" t="array" ref="B4">INDIRECT("装备牌部件!G"&amp;(ROW()-2)*6+7)</f>
        <v>1</v>
      </c>
      <c r="C4" s="7" cm="1">
        <f ca="1" t="array" ref="C4">INDIRECT("装备牌部件!H"&amp;(ROW()-2)*6+7)</f>
        <v>2</v>
      </c>
      <c r="D4" s="7" cm="1">
        <f ca="1" t="array" ref="D4">INDIRECT("装备牌部件!I"&amp;(ROW()-2)*6+7)</f>
        <v>2</v>
      </c>
      <c r="E4" s="8" cm="1">
        <f ca="1" t="array" ref="E4">INDIRECT("装备牌部件!J"&amp;(ROW()-2)*6+7)</f>
        <v>3</v>
      </c>
      <c r="F4" s="9">
        <f ca="1" t="shared" si="0"/>
        <v>3</v>
      </c>
      <c r="G4" s="9">
        <f ca="1" t="shared" si="1"/>
        <v>4</v>
      </c>
    </row>
    <row r="5" ht="16.2" spans="1:7">
      <c r="A5" s="6" t="s">
        <v>37</v>
      </c>
      <c r="B5" s="7" cm="1">
        <f ca="1" t="array" ref="B5">INDIRECT("装备牌部件!G"&amp;(ROW()-2)*6+7)</f>
        <v>1</v>
      </c>
      <c r="C5" s="7" cm="1">
        <f ca="1" t="array" ref="C5">INDIRECT("装备牌部件!H"&amp;(ROW()-2)*6+7)</f>
        <v>2</v>
      </c>
      <c r="D5" s="7" cm="1">
        <f ca="1" t="array" ref="D5">INDIRECT("装备牌部件!I"&amp;(ROW()-2)*6+7)</f>
        <v>2</v>
      </c>
      <c r="E5" s="8" cm="1">
        <f ca="1" t="array" ref="E5">INDIRECT("装备牌部件!J"&amp;(ROW()-2)*6+7)</f>
        <v>3</v>
      </c>
      <c r="F5" s="9">
        <f ca="1" t="shared" si="0"/>
        <v>3</v>
      </c>
      <c r="G5" s="9">
        <f ca="1" t="shared" si="1"/>
        <v>4</v>
      </c>
    </row>
    <row r="6" ht="16.2" spans="1:7">
      <c r="A6" s="6" t="s">
        <v>41</v>
      </c>
      <c r="B6" s="7" cm="1">
        <f ca="1" t="array" ref="B6">INDIRECT("装备牌部件!G"&amp;(ROW()-2)*6+7)</f>
        <v>0</v>
      </c>
      <c r="C6" s="7" cm="1">
        <f ca="1" t="array" ref="C6">INDIRECT("装备牌部件!H"&amp;(ROW()-2)*6+7)</f>
        <v>4</v>
      </c>
      <c r="D6" s="7" cm="1">
        <f ca="1" t="array" ref="D6">INDIRECT("装备牌部件!I"&amp;(ROW()-2)*6+7)</f>
        <v>3</v>
      </c>
      <c r="E6" s="8" cm="1">
        <f ca="1" t="array" ref="E6">INDIRECT("装备牌部件!J"&amp;(ROW()-2)*6+7)</f>
        <v>3</v>
      </c>
      <c r="F6" s="9">
        <f ca="1" t="shared" si="0"/>
        <v>4</v>
      </c>
      <c r="G6" s="9">
        <f ca="1" t="shared" si="1"/>
        <v>7</v>
      </c>
    </row>
    <row r="7" ht="16.2" spans="1:7">
      <c r="A7" s="6" t="s">
        <v>47</v>
      </c>
      <c r="B7" s="7" cm="1">
        <f ca="1" t="array" ref="B7">INDIRECT("装备牌部件!G"&amp;(ROW()-2)*6+7)</f>
        <v>2</v>
      </c>
      <c r="C7" s="7" cm="1">
        <f ca="1" t="array" ref="C7">INDIRECT("装备牌部件!H"&amp;(ROW()-2)*6+7)</f>
        <v>2</v>
      </c>
      <c r="D7" s="7" cm="1">
        <f ca="1" t="array" ref="D7">INDIRECT("装备牌部件!I"&amp;(ROW()-2)*6+7)</f>
        <v>2</v>
      </c>
      <c r="E7" s="8" cm="1">
        <f ca="1" t="array" ref="E7">INDIRECT("装备牌部件!J"&amp;(ROW()-2)*6+7)</f>
        <v>3</v>
      </c>
      <c r="F7" s="9">
        <f ca="1" t="shared" si="0"/>
        <v>4</v>
      </c>
      <c r="G7" s="9">
        <f ca="1" t="shared" si="1"/>
        <v>4</v>
      </c>
    </row>
    <row r="8" ht="16.2" spans="1:7">
      <c r="A8" s="6" t="s">
        <v>54</v>
      </c>
      <c r="B8" s="7" cm="1">
        <f ca="1" t="array" ref="B8">INDIRECT("装备牌部件!G"&amp;(ROW()-2)*6+7)</f>
        <v>1</v>
      </c>
      <c r="C8" s="7" cm="1">
        <f ca="1" t="array" ref="C8">INDIRECT("装备牌部件!H"&amp;(ROW()-2)*6+7)</f>
        <v>3</v>
      </c>
      <c r="D8" s="7" cm="1">
        <f ca="1" t="array" ref="D8">INDIRECT("装备牌部件!I"&amp;(ROW()-2)*6+7)</f>
        <v>1</v>
      </c>
      <c r="E8" s="8" cm="1">
        <f ca="1" t="array" ref="E8">INDIRECT("装备牌部件!J"&amp;(ROW()-2)*6+7)</f>
        <v>3</v>
      </c>
      <c r="F8" s="9">
        <f ca="1" t="shared" si="0"/>
        <v>4</v>
      </c>
      <c r="G8" s="9">
        <f ca="1" t="shared" si="1"/>
        <v>4</v>
      </c>
    </row>
    <row r="9" ht="16.2" spans="1:7">
      <c r="A9" s="10" t="s">
        <v>59</v>
      </c>
      <c r="B9" s="11" cm="1">
        <f ca="1" t="array" ref="B9">INDIRECT("装备牌部件!G"&amp;(ROW()-2)*6+7)</f>
        <v>2</v>
      </c>
      <c r="C9" s="11" cm="1">
        <f ca="1" t="array" ref="C9">INDIRECT("装备牌部件!H"&amp;(ROW()-2)*6+7)</f>
        <v>2</v>
      </c>
      <c r="D9" s="11" cm="1">
        <f ca="1" t="array" ref="D9">INDIRECT("装备牌部件!I"&amp;(ROW()-2)*6+7)</f>
        <v>3</v>
      </c>
      <c r="E9" s="12" cm="1">
        <f ca="1" t="array" ref="E9">INDIRECT("装备牌部件!J"&amp;(ROW()-2)*6+7)</f>
        <v>4</v>
      </c>
      <c r="F9" s="13">
        <f ca="1" t="shared" si="0"/>
        <v>4</v>
      </c>
      <c r="G9" s="13">
        <f ca="1" t="shared" si="1"/>
        <v>5</v>
      </c>
    </row>
    <row r="10" ht="16.2" spans="1:7">
      <c r="A10" s="10" t="s">
        <v>63</v>
      </c>
      <c r="B10" s="11" cm="1">
        <f ca="1" t="array" ref="B10">INDIRECT("装备牌部件!G"&amp;(ROW()-2)*6+7)</f>
        <v>2</v>
      </c>
      <c r="C10" s="11" cm="1">
        <f ca="1" t="array" ref="C10">INDIRECT("装备牌部件!H"&amp;(ROW()-2)*6+7)</f>
        <v>2</v>
      </c>
      <c r="D10" s="11" cm="1">
        <f ca="1" t="array" ref="D10">INDIRECT("装备牌部件!I"&amp;(ROW()-2)*6+7)</f>
        <v>3</v>
      </c>
      <c r="E10" s="12" cm="1">
        <f ca="1" t="array" ref="E10">INDIRECT("装备牌部件!J"&amp;(ROW()-2)*6+7)</f>
        <v>4</v>
      </c>
      <c r="F10" s="13">
        <f ca="1" t="shared" si="0"/>
        <v>4</v>
      </c>
      <c r="G10" s="13">
        <f ca="1" t="shared" si="1"/>
        <v>5</v>
      </c>
    </row>
    <row r="11" ht="16.2" spans="1:7">
      <c r="A11" s="10" t="s">
        <v>69</v>
      </c>
      <c r="B11" s="11" cm="1">
        <f ca="1" t="array" ref="B11">INDIRECT("装备牌部件!G"&amp;(ROW()-2)*6+7)</f>
        <v>2</v>
      </c>
      <c r="C11" s="11" cm="1">
        <f ca="1" t="array" ref="C11">INDIRECT("装备牌部件!H"&amp;(ROW()-2)*6+7)</f>
        <v>3</v>
      </c>
      <c r="D11" s="11" cm="1">
        <f ca="1" t="array" ref="D11">INDIRECT("装备牌部件!I"&amp;(ROW()-2)*6+7)</f>
        <v>3</v>
      </c>
      <c r="E11" s="12" cm="1">
        <f ca="1" t="array" ref="E11">INDIRECT("装备牌部件!J"&amp;(ROW()-2)*6+7)</f>
        <v>4</v>
      </c>
      <c r="F11" s="13">
        <f ca="1" t="shared" si="0"/>
        <v>5</v>
      </c>
      <c r="G11" s="13">
        <f ca="1" t="shared" si="1"/>
        <v>6</v>
      </c>
    </row>
    <row r="12" ht="16.2" spans="1:7">
      <c r="A12" s="10" t="s">
        <v>75</v>
      </c>
      <c r="B12" s="11" cm="1">
        <f ca="1" t="array" ref="B12">INDIRECT("装备牌部件!G"&amp;(ROW()-2)*6+7)</f>
        <v>1</v>
      </c>
      <c r="C12" s="11" cm="1">
        <f ca="1" t="array" ref="C12">INDIRECT("装备牌部件!H"&amp;(ROW()-2)*6+7)</f>
        <v>3</v>
      </c>
      <c r="D12" s="11" cm="1">
        <f ca="1" t="array" ref="D12">INDIRECT("装备牌部件!I"&amp;(ROW()-2)*6+7)</f>
        <v>3</v>
      </c>
      <c r="E12" s="12" cm="1">
        <f ca="1" t="array" ref="E12">INDIRECT("装备牌部件!J"&amp;(ROW()-2)*6+7)</f>
        <v>4</v>
      </c>
      <c r="F12" s="13">
        <f ca="1" t="shared" si="0"/>
        <v>4</v>
      </c>
      <c r="G12" s="13">
        <f ca="1" t="shared" si="1"/>
        <v>6</v>
      </c>
    </row>
    <row r="13" ht="16.2" spans="1:7">
      <c r="A13" s="10" t="s">
        <v>79</v>
      </c>
      <c r="B13" s="11" cm="1">
        <f ca="1" t="array" ref="B13">INDIRECT("装备牌部件!G"&amp;(ROW()-2)*6+7)</f>
        <v>1</v>
      </c>
      <c r="C13" s="11" cm="1">
        <f ca="1" t="array" ref="C13">INDIRECT("装备牌部件!H"&amp;(ROW()-2)*6+7)</f>
        <v>4</v>
      </c>
      <c r="D13" s="11" cm="1">
        <f ca="1" t="array" ref="D13">INDIRECT("装备牌部件!I"&amp;(ROW()-2)*6+7)</f>
        <v>4</v>
      </c>
      <c r="E13" s="12" cm="1">
        <f ca="1" t="array" ref="E13">INDIRECT("装备牌部件!J"&amp;(ROW()-2)*6+7)</f>
        <v>4</v>
      </c>
      <c r="F13" s="13">
        <f ca="1" t="shared" si="0"/>
        <v>5</v>
      </c>
      <c r="G13" s="13">
        <f ca="1" t="shared" si="1"/>
        <v>8</v>
      </c>
    </row>
    <row r="14" ht="16.2" spans="1:7">
      <c r="A14" s="10" t="s">
        <v>256</v>
      </c>
      <c r="B14" s="11" cm="1">
        <f ca="1" t="array" ref="B14">INDIRECT("装备牌部件!G"&amp;(ROW()-2)*6+7)</f>
        <v>2</v>
      </c>
      <c r="C14" s="11" cm="1">
        <f ca="1" t="array" ref="C14">INDIRECT("装备牌部件!H"&amp;(ROW()-2)*6+7)</f>
        <v>3</v>
      </c>
      <c r="D14" s="11" cm="1">
        <f ca="1" t="array" ref="D14">INDIRECT("装备牌部件!I"&amp;(ROW()-2)*6+7)</f>
        <v>3</v>
      </c>
      <c r="E14" s="12" cm="1">
        <f ca="1" t="array" ref="E14">INDIRECT("装备牌部件!J"&amp;(ROW()-2)*6+7)</f>
        <v>4</v>
      </c>
      <c r="F14" s="13">
        <f ca="1" t="shared" si="0"/>
        <v>5</v>
      </c>
      <c r="G14" s="13">
        <f ca="1" t="shared" si="1"/>
        <v>6</v>
      </c>
    </row>
    <row r="15" ht="16.2" spans="1:7">
      <c r="A15" s="10" t="s">
        <v>257</v>
      </c>
      <c r="B15" s="11" cm="1">
        <f ca="1" t="array" ref="B15">INDIRECT("装备牌部件!G"&amp;(ROW()-2)*6+7)</f>
        <v>2</v>
      </c>
      <c r="C15" s="11" cm="1">
        <f ca="1" t="array" ref="C15">INDIRECT("装备牌部件!H"&amp;(ROW()-2)*6+7)</f>
        <v>3</v>
      </c>
      <c r="D15" s="11" cm="1">
        <f ca="1" t="array" ref="D15">INDIRECT("装备牌部件!I"&amp;(ROW()-2)*6+7)</f>
        <v>2</v>
      </c>
      <c r="E15" s="12" cm="1">
        <f ca="1" t="array" ref="E15">INDIRECT("装备牌部件!J"&amp;(ROW()-2)*6+7)</f>
        <v>4</v>
      </c>
      <c r="F15" s="13">
        <f ca="1" t="shared" si="0"/>
        <v>5</v>
      </c>
      <c r="G15" s="13">
        <f ca="1" t="shared" si="1"/>
        <v>5</v>
      </c>
    </row>
    <row r="16" ht="16.2" spans="1:7">
      <c r="A16" s="14" t="s">
        <v>98</v>
      </c>
      <c r="B16" s="15" cm="1">
        <f ca="1" t="array" ref="B16">INDIRECT("装备牌部件!G"&amp;(ROW()-2)*6+7)</f>
        <v>2</v>
      </c>
      <c r="C16" s="15" cm="1">
        <f ca="1" t="array" ref="C16">INDIRECT("装备牌部件!H"&amp;(ROW()-2)*6+7)</f>
        <v>3</v>
      </c>
      <c r="D16" s="15" cm="1">
        <f ca="1" t="array" ref="D16">INDIRECT("装备牌部件!I"&amp;(ROW()-2)*6+7)</f>
        <v>4</v>
      </c>
      <c r="E16" s="15" cm="1">
        <f ca="1" t="array" ref="E16">INDIRECT("装备牌部件!J"&amp;(ROW()-2)*6+7)</f>
        <v>5</v>
      </c>
      <c r="F16" s="15">
        <f ca="1" t="shared" si="0"/>
        <v>5</v>
      </c>
      <c r="G16" s="15">
        <f ca="1" t="shared" si="1"/>
        <v>7</v>
      </c>
    </row>
    <row r="17" ht="16.2" spans="1:7">
      <c r="A17" s="15" t="s">
        <v>103</v>
      </c>
      <c r="B17" s="15" cm="1">
        <f ca="1" t="array" ref="B17">INDIRECT("装备牌部件!G"&amp;(ROW()-2)*6+7)</f>
        <v>2</v>
      </c>
      <c r="C17" s="15" cm="1">
        <f ca="1" t="array" ref="C17">INDIRECT("装备牌部件!H"&amp;(ROW()-2)*6+7)</f>
        <v>3</v>
      </c>
      <c r="D17" s="15" cm="1">
        <f ca="1" t="array" ref="D17">INDIRECT("装备牌部件!I"&amp;(ROW()-2)*6+7)</f>
        <v>4</v>
      </c>
      <c r="E17" s="15" cm="1">
        <f ca="1" t="array" ref="E17">INDIRECT("装备牌部件!J"&amp;(ROW()-2)*6+7)</f>
        <v>5</v>
      </c>
      <c r="F17" s="15">
        <f ca="1" t="shared" si="0"/>
        <v>5</v>
      </c>
      <c r="G17" s="15">
        <f ca="1" t="shared" si="1"/>
        <v>7</v>
      </c>
    </row>
    <row r="18" ht="16.2" spans="1:7">
      <c r="A18" s="15" t="s">
        <v>108</v>
      </c>
      <c r="B18" s="15" cm="1">
        <f ca="1" t="array" ref="B18">INDIRECT("装备牌部件!G"&amp;(ROW()-2)*6+7)</f>
        <v>3</v>
      </c>
      <c r="C18" s="15" cm="1">
        <f ca="1" t="array" ref="C18">INDIRECT("装备牌部件!H"&amp;(ROW()-2)*6+7)</f>
        <v>3</v>
      </c>
      <c r="D18" s="15" cm="1">
        <f ca="1" t="array" ref="D18">INDIRECT("装备牌部件!I"&amp;(ROW()-2)*6+7)</f>
        <v>4</v>
      </c>
      <c r="E18" s="15" cm="1">
        <f ca="1" t="array" ref="E18">INDIRECT("装备牌部件!J"&amp;(ROW()-2)*6+7)</f>
        <v>5</v>
      </c>
      <c r="F18" s="15">
        <f ca="1" t="shared" si="0"/>
        <v>6</v>
      </c>
      <c r="G18" s="15">
        <f ca="1" t="shared" si="1"/>
        <v>7</v>
      </c>
    </row>
    <row r="19" ht="16.2" spans="1:7">
      <c r="A19" s="15" t="s">
        <v>112</v>
      </c>
      <c r="B19" s="15" cm="1">
        <f ca="1" t="array" ref="B19">INDIRECT("装备牌部件!G"&amp;(ROW()-2)*6+7)</f>
        <v>2</v>
      </c>
      <c r="C19" s="15" cm="1">
        <f ca="1" t="array" ref="C19">INDIRECT("装备牌部件!H"&amp;(ROW()-2)*6+7)</f>
        <v>3</v>
      </c>
      <c r="D19" s="15" cm="1">
        <f ca="1" t="array" ref="D19">INDIRECT("装备牌部件!I"&amp;(ROW()-2)*6+7)</f>
        <v>4</v>
      </c>
      <c r="E19" s="15" cm="1">
        <f ca="1" t="array" ref="E19">INDIRECT("装备牌部件!J"&amp;(ROW()-2)*6+7)</f>
        <v>5</v>
      </c>
      <c r="F19" s="15">
        <f ca="1" t="shared" si="0"/>
        <v>5</v>
      </c>
      <c r="G19" s="15">
        <f ca="1" t="shared" si="1"/>
        <v>7</v>
      </c>
    </row>
    <row r="20" ht="16.2" spans="1:7">
      <c r="A20" s="15" t="s">
        <v>258</v>
      </c>
      <c r="B20" s="15" cm="1">
        <f ca="1" t="array" ref="B20">INDIRECT("装备牌部件!G"&amp;(ROW()-2)*6+7)</f>
        <v>2</v>
      </c>
      <c r="C20" s="15" cm="1">
        <f ca="1" t="array" ref="C20">INDIRECT("装备牌部件!H"&amp;(ROW()-2)*6+7)</f>
        <v>4</v>
      </c>
      <c r="D20" s="15" cm="1">
        <f ca="1" t="array" ref="D20">INDIRECT("装备牌部件!I"&amp;(ROW()-2)*6+7)</f>
        <v>4</v>
      </c>
      <c r="E20" s="15" cm="1">
        <f ca="1" t="array" ref="E20">INDIRECT("装备牌部件!J"&amp;(ROW()-2)*6+7)</f>
        <v>5</v>
      </c>
      <c r="F20" s="15">
        <f ca="1" t="shared" si="0"/>
        <v>6</v>
      </c>
      <c r="G20" s="15">
        <f ca="1" t="shared" si="1"/>
        <v>8</v>
      </c>
    </row>
    <row r="21" ht="16.2" spans="1:7">
      <c r="A21" s="16" t="s">
        <v>124</v>
      </c>
      <c r="B21" s="17" cm="1">
        <f ca="1" t="array" ref="B21">INDIRECT("装备牌部件!G"&amp;(ROW()-2)*6+7)</f>
        <v>3</v>
      </c>
      <c r="C21" s="17" cm="1">
        <f ca="1" t="array" ref="C21">INDIRECT("装备牌部件!H"&amp;(ROW()-2)*6+7)</f>
        <v>3</v>
      </c>
      <c r="D21" s="17" cm="1">
        <f ca="1" t="array" ref="D21">INDIRECT("装备牌部件!I"&amp;(ROW()-2)*6+7)</f>
        <v>5</v>
      </c>
      <c r="E21" s="18" cm="1">
        <f ca="1" t="array" ref="E21">INDIRECT("装备牌部件!J"&amp;(ROW()-2)*6+7)</f>
        <v>7</v>
      </c>
      <c r="F21" s="19">
        <f ca="1" t="shared" si="0"/>
        <v>6</v>
      </c>
      <c r="G21" s="19">
        <f ca="1" t="shared" si="1"/>
        <v>8</v>
      </c>
    </row>
    <row r="22" ht="16.2" spans="1:7">
      <c r="A22" s="20" t="s">
        <v>132</v>
      </c>
      <c r="B22" s="21" cm="1">
        <f ca="1" t="array" ref="B22">INDIRECT("装备牌部件!G"&amp;(ROW()-2)*6+7)</f>
        <v>4</v>
      </c>
      <c r="C22" s="21" cm="1">
        <f ca="1" t="array" ref="C22">INDIRECT("装备牌部件!H"&amp;(ROW()-2)*6+7)</f>
        <v>3</v>
      </c>
      <c r="D22" s="21" cm="1">
        <f ca="1" t="array" ref="D22">INDIRECT("装备牌部件!I"&amp;(ROW()-2)*6+7)</f>
        <v>5</v>
      </c>
      <c r="E22" s="22" cm="1">
        <f ca="1" t="array" ref="E22">INDIRECT("装备牌部件!J"&amp;(ROW()-2)*6+7)</f>
        <v>7</v>
      </c>
      <c r="F22" s="19">
        <f ca="1" t="shared" si="0"/>
        <v>7</v>
      </c>
      <c r="G22" s="19">
        <f ca="1" t="shared" si="1"/>
        <v>8</v>
      </c>
    </row>
    <row r="23" ht="16.2" spans="1:7">
      <c r="A23" s="5" t="s">
        <v>259</v>
      </c>
      <c r="B23" s="5">
        <f ca="1" t="shared" ref="B23:G23" si="2">SUM(B2:B22)</f>
        <v>37</v>
      </c>
      <c r="C23" s="5">
        <f ca="1" t="shared" si="2"/>
        <v>59</v>
      </c>
      <c r="D23" s="5">
        <f ca="1" t="shared" si="2"/>
        <v>65</v>
      </c>
      <c r="E23" s="5">
        <f ca="1" t="shared" si="2"/>
        <v>88</v>
      </c>
      <c r="F23" s="5">
        <f ca="1" t="shared" si="2"/>
        <v>96</v>
      </c>
      <c r="G23" s="5">
        <f ca="1" t="shared" si="2"/>
        <v>124</v>
      </c>
    </row>
    <row r="24" ht="16.2" spans="1:7">
      <c r="A24" s="5" t="s">
        <v>260</v>
      </c>
      <c r="B24" s="5">
        <f ca="1" t="shared" ref="B24:G24" si="3">B23/21</f>
        <v>1.76190476190476</v>
      </c>
      <c r="C24" s="5">
        <f ca="1" t="shared" si="3"/>
        <v>2.80952380952381</v>
      </c>
      <c r="D24" s="5">
        <f ca="1" t="shared" si="3"/>
        <v>3.0952380952381</v>
      </c>
      <c r="E24" s="5">
        <f ca="1" t="shared" si="3"/>
        <v>4.19047619047619</v>
      </c>
      <c r="F24" s="5">
        <f ca="1" t="shared" si="3"/>
        <v>4.57142857142857</v>
      </c>
      <c r="G24" s="5">
        <f ca="1" t="shared" si="3"/>
        <v>5.90476190476191</v>
      </c>
    </row>
    <row r="25" ht="16.2" spans="1:7">
      <c r="A25" s="5" t="s">
        <v>261</v>
      </c>
      <c r="B25" s="5">
        <f ca="1" t="shared" ref="B25:G25" si="4">MAX(B2:B22)</f>
        <v>4</v>
      </c>
      <c r="C25" s="5">
        <f ca="1" t="shared" si="4"/>
        <v>4</v>
      </c>
      <c r="D25" s="5">
        <f ca="1" t="shared" si="4"/>
        <v>5</v>
      </c>
      <c r="E25" s="5">
        <f ca="1" t="shared" si="4"/>
        <v>7</v>
      </c>
      <c r="F25" s="5">
        <f ca="1" t="shared" si="4"/>
        <v>7</v>
      </c>
      <c r="G25" s="5">
        <f ca="1" t="shared" si="4"/>
        <v>8</v>
      </c>
    </row>
    <row r="26" ht="16.2" spans="1:7">
      <c r="A26" s="5" t="s">
        <v>262</v>
      </c>
      <c r="B26" s="5">
        <f ca="1" t="shared" ref="B26:G26" si="5">MIN(B2:B22)</f>
        <v>0</v>
      </c>
      <c r="C26" s="5">
        <f ca="1" t="shared" si="5"/>
        <v>2</v>
      </c>
      <c r="D26" s="5">
        <f ca="1" t="shared" si="5"/>
        <v>1</v>
      </c>
      <c r="E26" s="5">
        <f ca="1" t="shared" si="5"/>
        <v>3</v>
      </c>
      <c r="F26" s="5">
        <f ca="1" t="shared" si="5"/>
        <v>3</v>
      </c>
      <c r="G26" s="5">
        <f ca="1" t="shared" si="5"/>
        <v>4</v>
      </c>
    </row>
    <row r="27" ht="16.2" spans="1:7">
      <c r="A27" s="9" t="s">
        <v>263</v>
      </c>
      <c r="B27" s="9">
        <f ca="1" t="shared" ref="B27:G27" si="6">SUM(B2:B8)</f>
        <v>7</v>
      </c>
      <c r="C27" s="9">
        <f ca="1" t="shared" si="6"/>
        <v>17</v>
      </c>
      <c r="D27" s="9">
        <f ca="1" t="shared" si="6"/>
        <v>14</v>
      </c>
      <c r="E27" s="9">
        <f ca="1" t="shared" si="6"/>
        <v>21</v>
      </c>
      <c r="F27" s="9">
        <f ca="1" t="shared" si="6"/>
        <v>24</v>
      </c>
      <c r="G27" s="9">
        <f ca="1" t="shared" si="6"/>
        <v>31</v>
      </c>
    </row>
    <row r="28" ht="16.2" spans="1:7">
      <c r="A28" s="9" t="s">
        <v>264</v>
      </c>
      <c r="B28" s="9">
        <f ca="1" t="shared" ref="B28:G28" si="7">B27/7</f>
        <v>1</v>
      </c>
      <c r="C28" s="9">
        <f ca="1" t="shared" si="7"/>
        <v>2.42857142857143</v>
      </c>
      <c r="D28" s="9">
        <f ca="1" t="shared" si="7"/>
        <v>2</v>
      </c>
      <c r="E28" s="9">
        <f ca="1" t="shared" si="7"/>
        <v>3</v>
      </c>
      <c r="F28" s="9">
        <f ca="1" t="shared" si="7"/>
        <v>3.42857142857143</v>
      </c>
      <c r="G28" s="9">
        <f ca="1" t="shared" si="7"/>
        <v>4.42857142857143</v>
      </c>
    </row>
    <row r="29" ht="16.2" spans="1:7">
      <c r="A29" s="9" t="s">
        <v>265</v>
      </c>
      <c r="B29" s="9">
        <f ca="1" t="shared" ref="B29:G29" si="8">MAX(B2:B8)</f>
        <v>2</v>
      </c>
      <c r="C29" s="9">
        <f ca="1" t="shared" si="8"/>
        <v>4</v>
      </c>
      <c r="D29" s="9">
        <f ca="1" t="shared" si="8"/>
        <v>3</v>
      </c>
      <c r="E29" s="9">
        <f ca="1" t="shared" si="8"/>
        <v>3</v>
      </c>
      <c r="F29" s="9">
        <f ca="1" t="shared" si="8"/>
        <v>4</v>
      </c>
      <c r="G29" s="9">
        <f ca="1" t="shared" si="8"/>
        <v>7</v>
      </c>
    </row>
    <row r="30" ht="16.2" spans="1:7">
      <c r="A30" s="9" t="s">
        <v>266</v>
      </c>
      <c r="B30" s="9">
        <f ca="1" t="shared" ref="B30:G30" si="9">MIN(B2:B8)</f>
        <v>0</v>
      </c>
      <c r="C30" s="9">
        <f ca="1" t="shared" si="9"/>
        <v>2</v>
      </c>
      <c r="D30" s="9">
        <f ca="1" t="shared" si="9"/>
        <v>1</v>
      </c>
      <c r="E30" s="9">
        <f ca="1" t="shared" si="9"/>
        <v>3</v>
      </c>
      <c r="F30" s="9">
        <f ca="1" t="shared" si="9"/>
        <v>3</v>
      </c>
      <c r="G30" s="9">
        <f ca="1" t="shared" si="9"/>
        <v>4</v>
      </c>
    </row>
    <row r="31" ht="16.2" spans="1:7">
      <c r="A31" s="13" t="s">
        <v>267</v>
      </c>
      <c r="B31" s="13">
        <f ca="1" t="shared" ref="B31:G31" si="10">SUM(B9:B15)</f>
        <v>12</v>
      </c>
      <c r="C31" s="13">
        <f ca="1" t="shared" si="10"/>
        <v>20</v>
      </c>
      <c r="D31" s="13">
        <f ca="1" t="shared" si="10"/>
        <v>21</v>
      </c>
      <c r="E31" s="13">
        <f ca="1" t="shared" si="10"/>
        <v>28</v>
      </c>
      <c r="F31" s="13">
        <f ca="1" t="shared" si="10"/>
        <v>32</v>
      </c>
      <c r="G31" s="13">
        <f ca="1" t="shared" si="10"/>
        <v>41</v>
      </c>
    </row>
    <row r="32" ht="16.2" spans="1:7">
      <c r="A32" s="13" t="s">
        <v>268</v>
      </c>
      <c r="B32" s="13">
        <f ca="1" t="shared" ref="B32:G32" si="11">B31/7</f>
        <v>1.71428571428571</v>
      </c>
      <c r="C32" s="13">
        <f ca="1" t="shared" si="11"/>
        <v>2.85714285714286</v>
      </c>
      <c r="D32" s="13">
        <f ca="1" t="shared" si="11"/>
        <v>3</v>
      </c>
      <c r="E32" s="13">
        <f ca="1" t="shared" si="11"/>
        <v>4</v>
      </c>
      <c r="F32" s="13">
        <f ca="1" t="shared" si="11"/>
        <v>4.57142857142857</v>
      </c>
      <c r="G32" s="13">
        <f ca="1" t="shared" si="11"/>
        <v>5.85714285714286</v>
      </c>
    </row>
    <row r="33" ht="16.2" spans="1:7">
      <c r="A33" s="13" t="s">
        <v>269</v>
      </c>
      <c r="B33" s="13">
        <f ca="1" t="shared" ref="B33:G33" si="12">MAX(B9:B15)</f>
        <v>2</v>
      </c>
      <c r="C33" s="13">
        <f ca="1" t="shared" si="12"/>
        <v>4</v>
      </c>
      <c r="D33" s="13">
        <f ca="1" t="shared" si="12"/>
        <v>4</v>
      </c>
      <c r="E33" s="13">
        <f ca="1" t="shared" si="12"/>
        <v>4</v>
      </c>
      <c r="F33" s="13">
        <f ca="1" t="shared" si="12"/>
        <v>5</v>
      </c>
      <c r="G33" s="13">
        <f ca="1" t="shared" si="12"/>
        <v>8</v>
      </c>
    </row>
    <row r="34" ht="16.2" spans="1:7">
      <c r="A34" s="13" t="s">
        <v>270</v>
      </c>
      <c r="B34" s="13">
        <f ca="1" t="shared" ref="B34:G34" si="13">MIN(B9:B15)</f>
        <v>1</v>
      </c>
      <c r="C34" s="13">
        <f ca="1" t="shared" si="13"/>
        <v>2</v>
      </c>
      <c r="D34" s="13">
        <f ca="1" t="shared" si="13"/>
        <v>2</v>
      </c>
      <c r="E34" s="13">
        <f ca="1" t="shared" si="13"/>
        <v>4</v>
      </c>
      <c r="F34" s="13">
        <f ca="1" t="shared" si="13"/>
        <v>4</v>
      </c>
      <c r="G34" s="13">
        <f ca="1" t="shared" si="13"/>
        <v>5</v>
      </c>
    </row>
    <row r="35" ht="16.2" spans="1:7">
      <c r="A35" s="15" t="s">
        <v>271</v>
      </c>
      <c r="B35" s="15">
        <f ca="1" t="shared" ref="B35:G35" si="14">SUM(B17:B20)</f>
        <v>9</v>
      </c>
      <c r="C35" s="15">
        <f ca="1" t="shared" si="14"/>
        <v>13</v>
      </c>
      <c r="D35" s="15">
        <f ca="1" t="shared" si="14"/>
        <v>16</v>
      </c>
      <c r="E35" s="15">
        <f ca="1" t="shared" si="14"/>
        <v>20</v>
      </c>
      <c r="F35" s="15">
        <f ca="1" t="shared" si="14"/>
        <v>22</v>
      </c>
      <c r="G35" s="15">
        <f ca="1" t="shared" si="14"/>
        <v>29</v>
      </c>
    </row>
    <row r="36" ht="16.2" spans="1:7">
      <c r="A36" s="15" t="s">
        <v>272</v>
      </c>
      <c r="B36" s="15">
        <f ca="1" t="shared" ref="B36:G36" si="15">B35/4</f>
        <v>2.25</v>
      </c>
      <c r="C36" s="15">
        <f ca="1" t="shared" si="15"/>
        <v>3.25</v>
      </c>
      <c r="D36" s="15">
        <f ca="1" t="shared" si="15"/>
        <v>4</v>
      </c>
      <c r="E36" s="15">
        <f ca="1" t="shared" si="15"/>
        <v>5</v>
      </c>
      <c r="F36" s="15">
        <f ca="1" t="shared" si="15"/>
        <v>5.5</v>
      </c>
      <c r="G36" s="15">
        <f ca="1" t="shared" si="15"/>
        <v>7.25</v>
      </c>
    </row>
    <row r="37" ht="16.2" spans="1:7">
      <c r="A37" s="15" t="s">
        <v>273</v>
      </c>
      <c r="B37" s="15">
        <f ca="1" t="shared" ref="B37:G37" si="16">MAX(B17:B20)</f>
        <v>3</v>
      </c>
      <c r="C37" s="15">
        <f ca="1" t="shared" si="16"/>
        <v>4</v>
      </c>
      <c r="D37" s="15">
        <f ca="1" t="shared" si="16"/>
        <v>4</v>
      </c>
      <c r="E37" s="15">
        <f ca="1" t="shared" si="16"/>
        <v>5</v>
      </c>
      <c r="F37" s="15">
        <f ca="1" t="shared" si="16"/>
        <v>6</v>
      </c>
      <c r="G37" s="15">
        <f ca="1" t="shared" si="16"/>
        <v>8</v>
      </c>
    </row>
    <row r="38" ht="16.2" spans="1:7">
      <c r="A38" s="15" t="s">
        <v>274</v>
      </c>
      <c r="B38" s="15">
        <f ca="1" t="shared" ref="B38:G38" si="17">MIN(B17:B20)</f>
        <v>2</v>
      </c>
      <c r="C38" s="15">
        <f ca="1" t="shared" si="17"/>
        <v>3</v>
      </c>
      <c r="D38" s="15">
        <f ca="1" t="shared" si="17"/>
        <v>4</v>
      </c>
      <c r="E38" s="15">
        <f ca="1" t="shared" si="17"/>
        <v>5</v>
      </c>
      <c r="F38" s="15">
        <f ca="1" t="shared" si="17"/>
        <v>5</v>
      </c>
      <c r="G38" s="15">
        <f ca="1" t="shared" si="17"/>
        <v>7</v>
      </c>
    </row>
    <row r="39" ht="16.2" spans="1:7">
      <c r="A39" s="19" t="s">
        <v>275</v>
      </c>
      <c r="B39" s="19">
        <f ca="1" t="shared" ref="B39:G39" si="18">SUM(B21:B22)</f>
        <v>7</v>
      </c>
      <c r="C39" s="19">
        <f ca="1" t="shared" si="18"/>
        <v>6</v>
      </c>
      <c r="D39" s="19">
        <f ca="1" t="shared" si="18"/>
        <v>10</v>
      </c>
      <c r="E39" s="19">
        <f ca="1" t="shared" si="18"/>
        <v>14</v>
      </c>
      <c r="F39" s="19">
        <f ca="1" t="shared" si="18"/>
        <v>13</v>
      </c>
      <c r="G39" s="19">
        <f ca="1" t="shared" si="18"/>
        <v>16</v>
      </c>
    </row>
    <row r="40" ht="16.2" spans="1:7">
      <c r="A40" s="19" t="s">
        <v>276</v>
      </c>
      <c r="B40" s="19">
        <f ca="1" t="shared" ref="B40:G40" si="19">B39/2</f>
        <v>3.5</v>
      </c>
      <c r="C40" s="19">
        <f ca="1" t="shared" si="19"/>
        <v>3</v>
      </c>
      <c r="D40" s="19">
        <f ca="1" t="shared" si="19"/>
        <v>5</v>
      </c>
      <c r="E40" s="19">
        <f ca="1" t="shared" si="19"/>
        <v>7</v>
      </c>
      <c r="F40" s="19">
        <f ca="1" t="shared" si="19"/>
        <v>6.5</v>
      </c>
      <c r="G40" s="19">
        <f ca="1" t="shared" si="19"/>
        <v>8</v>
      </c>
    </row>
    <row r="41" ht="16.2" spans="1:7">
      <c r="A41" s="19" t="s">
        <v>277</v>
      </c>
      <c r="B41" s="19">
        <f ca="1" t="shared" ref="B41:G41" si="20">MAX(B21:B22)</f>
        <v>4</v>
      </c>
      <c r="C41" s="19">
        <f ca="1" t="shared" si="20"/>
        <v>3</v>
      </c>
      <c r="D41" s="19">
        <f ca="1" t="shared" si="20"/>
        <v>5</v>
      </c>
      <c r="E41" s="19">
        <f ca="1" t="shared" si="20"/>
        <v>7</v>
      </c>
      <c r="F41" s="19">
        <f ca="1" t="shared" si="20"/>
        <v>7</v>
      </c>
      <c r="G41" s="19">
        <f ca="1" t="shared" si="20"/>
        <v>8</v>
      </c>
    </row>
    <row r="42" ht="16.2" spans="1:7">
      <c r="A42" s="19" t="s">
        <v>278</v>
      </c>
      <c r="B42" s="19">
        <f ca="1" t="shared" ref="B42:G42" si="21">MIN(B21:B22)</f>
        <v>3</v>
      </c>
      <c r="C42" s="19">
        <f ca="1" t="shared" si="21"/>
        <v>3</v>
      </c>
      <c r="D42" s="19">
        <f ca="1" t="shared" si="21"/>
        <v>5</v>
      </c>
      <c r="E42" s="19">
        <f ca="1" t="shared" si="21"/>
        <v>7</v>
      </c>
      <c r="F42" s="19">
        <f ca="1" t="shared" si="21"/>
        <v>6</v>
      </c>
      <c r="G42" s="19">
        <f ca="1" t="shared" si="21"/>
        <v>8</v>
      </c>
    </row>
    <row r="43" ht="15.6" spans="1:7">
      <c r="A43" s="23"/>
      <c r="B43" s="24"/>
      <c r="C43" s="24"/>
      <c r="D43" s="24"/>
      <c r="E43" s="24"/>
      <c r="F43" s="24"/>
      <c r="G43" s="2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装备牌部件</vt:lpstr>
      <vt:lpstr>装备牌武器</vt:lpstr>
      <vt:lpstr>机甲框架</vt:lpstr>
      <vt:lpstr>头部</vt:lpstr>
      <vt:lpstr>躯干</vt:lpstr>
      <vt:lpstr>右臂</vt:lpstr>
      <vt:lpstr>左臂</vt:lpstr>
      <vt:lpstr>右腿</vt:lpstr>
      <vt:lpstr>左腿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周续然</dc:creator>
  <cp:lastModifiedBy>Al NaCl</cp:lastModifiedBy>
  <dcterms:created xsi:type="dcterms:W3CDTF">2023-05-12T11:15:00Z</dcterms:created>
  <dcterms:modified xsi:type="dcterms:W3CDTF">2026-06-22T16:38:22Z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0EBE6E24A1D04049A7484025C0FE0FBB_12</vt:lpwstr>
  </property>
  <property fmtid="{D5CDD505-2E9C-101B-9397-08002B2CF9AE}" pid="4" name="CalculationRule">
    <vt:i4>0</vt:i4>
  </property>
</Properties>
</file>